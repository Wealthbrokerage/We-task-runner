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30 by discount" sheetId="1" state="visible" r:id="rId1"/>
    <sheet name="Notes" sheetId="2" state="visible" r:id="rId2"/>
  </sheets>
  <definedNames>
    <definedName name="_xlnm._FilterDatabase" localSheetId="0" hidden="1">'Top 30 by discount'!$A$1:$J$31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£#,##0;(£#,##0);-"/>
    <numFmt numFmtId="165" formatCode="0.0%;(0.0%);-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164" fontId="2" fillId="3" borderId="1" applyAlignment="1" pivotButton="0" quotePrefix="0" xfId="0">
      <alignment vertical="top"/>
    </xf>
    <xf numFmtId="165" fontId="2" fillId="3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/>
    </xf>
    <xf numFmtId="165" fontId="2" fillId="0" borderId="1" applyAlignment="1" pivotButton="0" quotePrefix="0" xfId="0">
      <alignment vertical="top"/>
    </xf>
    <xf numFmtId="0" fontId="2" fillId="4" borderId="1" applyAlignment="1" pivotButton="0" quotePrefix="0" xfId="0">
      <alignment vertical="top"/>
    </xf>
    <xf numFmtId="0" fontId="2" fillId="4" borderId="1" applyAlignment="1" pivotButton="0" quotePrefix="0" xfId="0">
      <alignment vertical="top" wrapText="1"/>
    </xf>
    <xf numFmtId="164" fontId="2" fillId="4" borderId="1" applyAlignment="1" pivotButton="0" quotePrefix="0" xfId="0">
      <alignment vertical="top"/>
    </xf>
    <xf numFmtId="165" fontId="2" fillId="4" borderId="1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4" customWidth="1" min="2" max="2"/>
    <col width="12" customWidth="1" min="3" max="3"/>
    <col width="14" customWidth="1" min="4" max="4"/>
    <col width="14" customWidth="1" min="5" max="5"/>
    <col width="18" customWidth="1" min="6" max="6"/>
    <col width="14" customWidth="1" min="7" max="7"/>
    <col width="14" customWidth="1" min="8" max="8"/>
    <col width="30" customWidth="1" min="9" max="9"/>
    <col width="44" customWidth="1" min="10" max="10"/>
  </cols>
  <sheetData>
    <row r="1">
      <c r="A1" s="1" t="inlineStr">
        <is>
          <t>Rank</t>
        </is>
      </c>
      <c r="B1" s="1" t="inlineStr">
        <is>
          <t>Address</t>
        </is>
      </c>
      <c r="C1" s="1" t="inlineStr">
        <is>
          <t>Lot number</t>
        </is>
      </c>
      <c r="D1" s="1" t="inlineStr">
        <is>
          <t>Guide price</t>
        </is>
      </c>
      <c r="E1" s="1" t="inlineStr">
        <is>
          <t>Guide +10%</t>
        </is>
      </c>
      <c r="F1" s="1" t="inlineStr">
        <is>
          <t>Hometrack valuation</t>
        </is>
      </c>
      <c r="G1" s="1" t="inlineStr">
        <is>
          <t>% guide of valuation</t>
        </is>
      </c>
      <c r="H1" s="1" t="inlineStr">
        <is>
          <t>Discount to valuation</t>
        </is>
      </c>
      <c r="I1" s="1" t="inlineStr">
        <is>
          <t>Status</t>
        </is>
      </c>
      <c r="J1" s="1" t="inlineStr">
        <is>
          <t>Valuation check</t>
        </is>
      </c>
    </row>
    <row r="2">
      <c r="A2" s="2" t="n">
        <v>1</v>
      </c>
      <c r="B2" s="3" t="inlineStr">
        <is>
          <t>18 Farringford Court, 1 Avenue Road, Lymington, Hampshire, SO41 9PA</t>
        </is>
      </c>
      <c r="C2" s="2" t="inlineStr">
        <is>
          <t>Sept 160A</t>
        </is>
      </c>
      <c r="D2" s="4" t="n">
        <v>5000</v>
      </c>
      <c r="E2" s="4">
        <f>D2*1.1</f>
        <v>5500.0</v>
      </c>
      <c r="F2" s="4" t="n">
        <v>150000</v>
      </c>
      <c r="G2" s="5">
        <f>D2/F2</f>
        <v>0.0333333333</v>
      </c>
      <c r="H2" s="5">
        <f>1-G2</f>
        <v>0.9666666667</v>
      </c>
      <c r="I2" s="3" t="inlineStr">
        <is>
          <t>Not in October catalogue - availability unconfirmed</t>
        </is>
      </c>
      <c r="J2" s="3" t="inlineStr">
        <is>
          <t>Representative Farringford Court unit</t>
        </is>
      </c>
    </row>
    <row r="3">
      <c r="A3" s="2" t="n">
        <v>2</v>
      </c>
      <c r="B3" s="3" t="inlineStr">
        <is>
          <t>4 Highfield Road, Newbold, Derbyshire, S41 7EY</t>
        </is>
      </c>
      <c r="C3" s="2" t="inlineStr">
        <is>
          <t>Sept 169</t>
        </is>
      </c>
      <c r="D3" s="4" t="n">
        <v>25000</v>
      </c>
      <c r="E3" s="4">
        <f>D3*1.1</f>
        <v>27500.0</v>
      </c>
      <c r="F3" s="4" t="n">
        <v>310000</v>
      </c>
      <c r="G3" s="5">
        <f>D3/F3</f>
        <v>0.0806451613</v>
      </c>
      <c r="H3" s="5">
        <f>1-G3</f>
        <v>0.9193548387</v>
      </c>
      <c r="I3" s="3" t="inlineStr">
        <is>
          <t>Not in October catalogue - availability unconfirmed</t>
        </is>
      </c>
      <c r="J3" s="3" t="inlineStr">
        <is>
          <t>No.4 not indexed; value is No.5 - AVM UNRELIABLE</t>
        </is>
      </c>
    </row>
    <row r="4">
      <c r="A4" s="2" t="n">
        <v>3</v>
      </c>
      <c r="B4" s="3" t="inlineStr">
        <is>
          <t>Apartment 006 New Bank House, 100 Queen Street, Sheffield, South Yorkshire, S1 2FA</t>
        </is>
      </c>
      <c r="C4" s="2" t="inlineStr">
        <is>
          <t>365395</t>
        </is>
      </c>
      <c r="D4" s="4" t="n">
        <v>5000</v>
      </c>
      <c r="E4" s="4">
        <f>D4*1.1</f>
        <v>5500.0</v>
      </c>
      <c r="F4" s="4" t="n">
        <v>58000</v>
      </c>
      <c r="G4" s="5">
        <f>D4/F4</f>
        <v>0.0862068966</v>
      </c>
      <c r="H4" s="5">
        <f>1-G4</f>
        <v>0.9137931034</v>
      </c>
      <c r="I4" s="3" t="inlineStr">
        <is>
          <t>In October catalogue</t>
        </is>
      </c>
      <c r="J4" s="3" t="inlineStr">
        <is>
          <t>Building indexed as one; Apt 006 not separable</t>
        </is>
      </c>
    </row>
    <row r="5">
      <c r="A5" s="2" t="n">
        <v>4</v>
      </c>
      <c r="B5" s="3" t="inlineStr">
        <is>
          <t>The Vaults, Manor Road, Chatham, Kent, ME4 6HW</t>
        </is>
      </c>
      <c r="C5" s="2" t="inlineStr">
        <is>
          <t>Sept 90</t>
        </is>
      </c>
      <c r="D5" s="4" t="n">
        <v>50000</v>
      </c>
      <c r="E5" s="4">
        <f>D5*1.1</f>
        <v>55000.0</v>
      </c>
      <c r="F5" s="4" t="n">
        <v>379000</v>
      </c>
      <c r="G5" s="5">
        <f>D5/F5</f>
        <v>0.1319261214</v>
      </c>
      <c r="H5" s="5">
        <f>1-G5</f>
        <v>0.8680738786</v>
      </c>
      <c r="I5" s="3" t="inlineStr">
        <is>
          <t>Not in October catalogue - availability unconfirmed</t>
        </is>
      </c>
      <c r="J5" s="3" t="inlineStr">
        <is>
          <t>AVM likely whole building, not one unit - verify</t>
        </is>
      </c>
    </row>
    <row r="6">
      <c r="A6" s="6" t="n">
        <v>5</v>
      </c>
      <c r="B6" s="7" t="inlineStr">
        <is>
          <t>First &amp; Second Floor, 5 Cornmarket, Penrith, Cumbria, CA11 7DA</t>
        </is>
      </c>
      <c r="C6" s="6" t="inlineStr">
        <is>
          <t>Sept 122A</t>
        </is>
      </c>
      <c r="D6" s="8" t="n">
        <v>20000</v>
      </c>
      <c r="E6" s="8">
        <f>D6*1.1</f>
        <v>22000.0</v>
      </c>
      <c r="F6" s="8" t="n">
        <v>136000</v>
      </c>
      <c r="G6" s="9">
        <f>D6/F6</f>
        <v>0.1470588235</v>
      </c>
      <c r="H6" s="9">
        <f>1-G6</f>
        <v>0.8529411765</v>
      </c>
      <c r="I6" s="7" t="inlineStr">
        <is>
          <t>Not in October catalogue - availability unconfirmed</t>
        </is>
      </c>
      <c r="J6" s="7" t="inlineStr"/>
    </row>
    <row r="7">
      <c r="A7" s="2" t="n">
        <v>6</v>
      </c>
      <c r="B7" s="3" t="inlineStr">
        <is>
          <t>Flat 29 The Old School Rooms, Great Moor Street, Bolton, Lancashire, BL1 1NR</t>
        </is>
      </c>
      <c r="C7" s="2" t="inlineStr">
        <is>
          <t>Sept 119</t>
        </is>
      </c>
      <c r="D7" s="4" t="n">
        <v>20000</v>
      </c>
      <c r="E7" s="4">
        <f>D7*1.1</f>
        <v>22000.0</v>
      </c>
      <c r="F7" s="4" t="n">
        <v>112000</v>
      </c>
      <c r="G7" s="5">
        <f>D7/F7</f>
        <v>0.1785714286</v>
      </c>
      <c r="H7" s="5">
        <f>1-G7</f>
        <v>0.8214285714</v>
      </c>
      <c r="I7" s="3" t="inlineStr">
        <is>
          <t>Not in October catalogue - availability unconfirmed</t>
        </is>
      </c>
      <c r="J7" s="3" t="inlineStr">
        <is>
          <t>Building indexed as one; Flat 29 not separable</t>
        </is>
      </c>
    </row>
    <row r="8">
      <c r="A8" s="2" t="n">
        <v>7</v>
      </c>
      <c r="B8" s="3" t="inlineStr">
        <is>
          <t>Flat 105, 2 Moorfields, Liverpool, Merseyside, L2 2BS</t>
        </is>
      </c>
      <c r="C8" s="2" t="inlineStr">
        <is>
          <t>365482</t>
        </is>
      </c>
      <c r="D8" s="4" t="n">
        <v>20000</v>
      </c>
      <c r="E8" s="4">
        <f>D8*1.1</f>
        <v>22000.0</v>
      </c>
      <c r="F8" s="4" t="n">
        <v>90000</v>
      </c>
      <c r="G8" s="5">
        <f>D8/F8</f>
        <v>0.2222222222</v>
      </c>
      <c r="H8" s="5">
        <f>1-G8</f>
        <v>0.7777777778</v>
      </c>
      <c r="I8" s="3" t="inlineStr">
        <is>
          <t>In October catalogue</t>
        </is>
      </c>
      <c r="J8" s="3" t="inlineStr">
        <is>
          <t>Representative unit at 2 Moorfields</t>
        </is>
      </c>
    </row>
    <row r="9">
      <c r="A9" s="2" t="n">
        <v>8</v>
      </c>
      <c r="B9" s="3" t="inlineStr">
        <is>
          <t>Flat 110, 2 Moorfields, Liverpool, Merseyside, L2 2BS</t>
        </is>
      </c>
      <c r="C9" s="2" t="inlineStr">
        <is>
          <t>Sept 113</t>
        </is>
      </c>
      <c r="D9" s="4" t="n">
        <v>20000</v>
      </c>
      <c r="E9" s="4">
        <f>D9*1.1</f>
        <v>22000.0</v>
      </c>
      <c r="F9" s="4" t="n">
        <v>90000</v>
      </c>
      <c r="G9" s="5">
        <f>D9/F9</f>
        <v>0.2222222222</v>
      </c>
      <c r="H9" s="5">
        <f>1-G9</f>
        <v>0.7777777778</v>
      </c>
      <c r="I9" s="3" t="inlineStr">
        <is>
          <t>Not in October catalogue - availability unconfirmed</t>
        </is>
      </c>
      <c r="J9" s="3" t="inlineStr">
        <is>
          <t>Representative unit at 2 Moorfields</t>
        </is>
      </c>
    </row>
    <row r="10">
      <c r="A10" s="2" t="n">
        <v>9</v>
      </c>
      <c r="B10" s="3" t="inlineStr">
        <is>
          <t>Flat 2, 201 Waldegrave Road, Teddington, Richmond upon Thames, TW11 8LX</t>
        </is>
      </c>
      <c r="C10" s="2" t="inlineStr">
        <is>
          <t>Sept 152</t>
        </is>
      </c>
      <c r="D10" s="4" t="n">
        <v>95000</v>
      </c>
      <c r="E10" s="4">
        <f>D10*1.1</f>
        <v>104500.0</v>
      </c>
      <c r="F10" s="4" t="n">
        <v>362000</v>
      </c>
      <c r="G10" s="5">
        <f>D10/F10</f>
        <v>0.2624309392</v>
      </c>
      <c r="H10" s="5">
        <f>1-G10</f>
        <v>0.7375690608</v>
      </c>
      <c r="I10" s="3" t="inlineStr">
        <is>
          <t>Not in October catalogue - availability unconfirmed</t>
        </is>
      </c>
      <c r="J10" s="3" t="inlineStr">
        <is>
          <t>Flats 1-4 are a grouped entry</t>
        </is>
      </c>
    </row>
    <row r="11">
      <c r="A11" s="2" t="n">
        <v>10</v>
      </c>
      <c r="B11" s="3" t="inlineStr">
        <is>
          <t>108 High Street, Redcar, Cleveland, TS10 3DL</t>
        </is>
      </c>
      <c r="C11" s="2" t="inlineStr">
        <is>
          <t>Sept 76</t>
        </is>
      </c>
      <c r="D11" s="4" t="n">
        <v>25000</v>
      </c>
      <c r="E11" s="4">
        <f>D11*1.1</f>
        <v>27500.0</v>
      </c>
      <c r="F11" s="4" t="n">
        <v>82000</v>
      </c>
      <c r="G11" s="5">
        <f>D11/F11</f>
        <v>0.3048780488</v>
      </c>
      <c r="H11" s="5">
        <f>1-G11</f>
        <v>0.6951219512</v>
      </c>
      <c r="I11" s="3" t="inlineStr">
        <is>
          <t>Not in October catalogue - availability unconfirmed</t>
        </is>
      </c>
      <c r="J11" s="3" t="inlineStr">
        <is>
          <t>Part of the 102-106 commercial parade</t>
        </is>
      </c>
    </row>
    <row r="12">
      <c r="A12" s="6" t="n">
        <v>11</v>
      </c>
      <c r="B12" s="7" t="inlineStr">
        <is>
          <t>Residential Flat, 9A Battle Hill, Hexham, Northumberland, NE46 1BA</t>
        </is>
      </c>
      <c r="C12" s="6" t="inlineStr">
        <is>
          <t>Sept 114</t>
        </is>
      </c>
      <c r="D12" s="8" t="n">
        <v>20000</v>
      </c>
      <c r="E12" s="8">
        <f>D12*1.1</f>
        <v>22000.0</v>
      </c>
      <c r="F12" s="8" t="n">
        <v>64500</v>
      </c>
      <c r="G12" s="9">
        <f>D12/F12</f>
        <v>0.3100775194</v>
      </c>
      <c r="H12" s="9">
        <f>1-G12</f>
        <v>0.6899224806</v>
      </c>
      <c r="I12" s="7" t="inlineStr">
        <is>
          <t>Not in October catalogue - availability unconfirmed</t>
        </is>
      </c>
      <c r="J12" s="7" t="inlineStr"/>
    </row>
    <row r="13">
      <c r="A13" s="6" t="n">
        <v>12</v>
      </c>
      <c r="B13" s="7" t="inlineStr">
        <is>
          <t>The Bungalow, 1 Chapel Lane, Maidford, Towcester, Northamptonshire, NN12 8HU</t>
        </is>
      </c>
      <c r="C13" s="6" t="inlineStr">
        <is>
          <t>Sept 105A</t>
        </is>
      </c>
      <c r="D13" s="8" t="n">
        <v>100000</v>
      </c>
      <c r="E13" s="8">
        <f>D13*1.1</f>
        <v>110000.0</v>
      </c>
      <c r="F13" s="8" t="n">
        <v>302000</v>
      </c>
      <c r="G13" s="9">
        <f>D13/F13</f>
        <v>0.3311258278</v>
      </c>
      <c r="H13" s="9">
        <f>1-G13</f>
        <v>0.6688741722</v>
      </c>
      <c r="I13" s="7" t="inlineStr">
        <is>
          <t>Not in October catalogue - availability unconfirmed</t>
        </is>
      </c>
      <c r="J13" s="7" t="inlineStr"/>
    </row>
    <row r="14">
      <c r="A14" s="6" t="n">
        <v>13</v>
      </c>
      <c r="B14" s="7" t="inlineStr">
        <is>
          <t>49 Exmouth Road, Great Yarmouth, Norfolk, NR30 3DP</t>
        </is>
      </c>
      <c r="C14" s="6" t="inlineStr">
        <is>
          <t>Sept 101</t>
        </is>
      </c>
      <c r="D14" s="8" t="n">
        <v>30000</v>
      </c>
      <c r="E14" s="8">
        <f>D14*1.1</f>
        <v>33000.0</v>
      </c>
      <c r="F14" s="8" t="n">
        <v>81000</v>
      </c>
      <c r="G14" s="9">
        <f>D14/F14</f>
        <v>0.3703703704</v>
      </c>
      <c r="H14" s="9">
        <f>1-G14</f>
        <v>0.6296296296</v>
      </c>
      <c r="I14" s="7" t="inlineStr">
        <is>
          <t>Not in October catalogue - availability unconfirmed</t>
        </is>
      </c>
      <c r="J14" s="7" t="inlineStr"/>
    </row>
    <row r="15">
      <c r="A15" s="10" t="n">
        <v>14</v>
      </c>
      <c r="B15" s="11" t="inlineStr">
        <is>
          <t>9 Victoria Road, Margate, Kent, CT9 1LN</t>
        </is>
      </c>
      <c r="C15" s="10" t="inlineStr">
        <is>
          <t>364735</t>
        </is>
      </c>
      <c r="D15" s="12" t="n">
        <v>90000</v>
      </c>
      <c r="E15" s="12">
        <f>D15*1.1</f>
        <v>99000.0</v>
      </c>
      <c r="F15" s="12" t="n">
        <v>238000</v>
      </c>
      <c r="G15" s="13">
        <f>D15/F15</f>
        <v>0.3781512605</v>
      </c>
      <c r="H15" s="13">
        <f>1-G15</f>
        <v>0.6218487395</v>
      </c>
      <c r="I15" s="11" t="inlineStr">
        <is>
          <t>In October catalogue</t>
        </is>
      </c>
      <c r="J15" s="11" t="inlineStr"/>
    </row>
    <row r="16">
      <c r="A16" s="2" t="n">
        <v>15</v>
      </c>
      <c r="B16" s="3" t="inlineStr">
        <is>
          <t>2 Garfield Street, Northampton, Northamptonshire, NN2 6NW</t>
        </is>
      </c>
      <c r="C16" s="2" t="inlineStr">
        <is>
          <t>Sept 105</t>
        </is>
      </c>
      <c r="D16" s="4" t="n">
        <v>95000</v>
      </c>
      <c r="E16" s="4">
        <f>D16*1.1</f>
        <v>104500.0</v>
      </c>
      <c r="F16" s="4" t="n">
        <v>250000</v>
      </c>
      <c r="G16" s="5">
        <f>D16/F16</f>
        <v>0.38</v>
      </c>
      <c r="H16" s="5">
        <f>1-G16</f>
        <v>0.62</v>
      </c>
      <c r="I16" s="3" t="inlineStr">
        <is>
          <t>Not in October catalogue - availability unconfirmed</t>
        </is>
      </c>
      <c r="J16" s="3" t="inlineStr">
        <is>
          <t>No.2 not indexed; value is neighbouring 1 Garfield St</t>
        </is>
      </c>
    </row>
    <row r="17">
      <c r="A17" s="2" t="n">
        <v>16</v>
      </c>
      <c r="B17" s="3" t="inlineStr">
        <is>
          <t>Flat 3, 55 West Avenue, Filey, North Yorkshire, YO14 9AX</t>
        </is>
      </c>
      <c r="C17" s="2" t="inlineStr">
        <is>
          <t>Sept 163</t>
        </is>
      </c>
      <c r="D17" s="4" t="n">
        <v>50000</v>
      </c>
      <c r="E17" s="4">
        <f>D17*1.1</f>
        <v>55000.0</v>
      </c>
      <c r="F17" s="4" t="n">
        <v>130000</v>
      </c>
      <c r="G17" s="5">
        <f>D17/F17</f>
        <v>0.3846153846</v>
      </c>
      <c r="H17" s="5">
        <f>1-G17</f>
        <v>0.6153846154</v>
      </c>
      <c r="I17" s="3" t="inlineStr">
        <is>
          <t>Not in October catalogue - availability unconfirmed</t>
        </is>
      </c>
      <c r="J17" s="3" t="inlineStr">
        <is>
          <t>AVM is the whole house; lot is Flat 3, worth less</t>
        </is>
      </c>
    </row>
    <row r="18">
      <c r="A18" s="6" t="n">
        <v>17</v>
      </c>
      <c r="B18" s="7" t="inlineStr">
        <is>
          <t>4 Nairn Court, Dock Road, Tilbury, Essex, RM18 7BY</t>
        </is>
      </c>
      <c r="C18" s="6" t="inlineStr">
        <is>
          <t>Sept 22</t>
        </is>
      </c>
      <c r="D18" s="8" t="n">
        <v>60000</v>
      </c>
      <c r="E18" s="8">
        <f>D18*1.1</f>
        <v>66000.0</v>
      </c>
      <c r="F18" s="8" t="n">
        <v>149000</v>
      </c>
      <c r="G18" s="9">
        <f>D18/F18</f>
        <v>0.4026845638</v>
      </c>
      <c r="H18" s="9">
        <f>1-G18</f>
        <v>0.5973154362</v>
      </c>
      <c r="I18" s="7" t="inlineStr">
        <is>
          <t>Not in October catalogue - availability unconfirmed</t>
        </is>
      </c>
      <c r="J18" s="7" t="inlineStr"/>
    </row>
    <row r="19">
      <c r="A19" s="6" t="n">
        <v>18</v>
      </c>
      <c r="B19" s="7" t="inlineStr">
        <is>
          <t>1 Hunter House, Hunter Road, Guildford, Surrey, GU1 3LQ</t>
        </is>
      </c>
      <c r="C19" s="6" t="inlineStr">
        <is>
          <t>Sept 81</t>
        </is>
      </c>
      <c r="D19" s="8" t="n">
        <v>140000</v>
      </c>
      <c r="E19" s="8">
        <f>D19*1.1</f>
        <v>154000.0</v>
      </c>
      <c r="F19" s="8" t="n">
        <v>337000</v>
      </c>
      <c r="G19" s="9">
        <f>D19/F19</f>
        <v>0.4154302671</v>
      </c>
      <c r="H19" s="9">
        <f>1-G19</f>
        <v>0.5845697329</v>
      </c>
      <c r="I19" s="7" t="inlineStr">
        <is>
          <t>Not in October catalogue - availability unconfirmed</t>
        </is>
      </c>
      <c r="J19" s="7" t="inlineStr"/>
    </row>
    <row r="20">
      <c r="A20" s="2" t="n">
        <v>19</v>
      </c>
      <c r="B20" s="3" t="inlineStr">
        <is>
          <t>Holmshill House, Summerswood Lane, Borehamwood, Hertfordshire, WD6 5PG</t>
        </is>
      </c>
      <c r="C20" s="2" t="inlineStr">
        <is>
          <t>Sept 39</t>
        </is>
      </c>
      <c r="D20" s="4" t="n">
        <v>525000</v>
      </c>
      <c r="E20" s="4">
        <f>D20*1.1</f>
        <v>577500.0</v>
      </c>
      <c r="F20" s="4" t="n">
        <v>1250000</v>
      </c>
      <c r="G20" s="5">
        <f>D20/F20</f>
        <v>0.42</v>
      </c>
      <c r="H20" s="5">
        <f>1-G20</f>
        <v>0.58</v>
      </c>
      <c r="I20" s="3" t="inlineStr">
        <is>
          <t>Not in October catalogue - availability unconfirmed</t>
        </is>
      </c>
      <c r="J20" s="3" t="inlineStr">
        <is>
          <t>AVM matched WD6 5PJ vs catalogue WD6 5PG - verify</t>
        </is>
      </c>
    </row>
    <row r="21">
      <c r="A21" s="6" t="n">
        <v>20</v>
      </c>
      <c r="B21" s="7" t="inlineStr">
        <is>
          <t>4 Milburn Street, Crook, County Durham, DL15 9DY</t>
        </is>
      </c>
      <c r="C21" s="6" t="inlineStr">
        <is>
          <t>Sept 166A</t>
        </is>
      </c>
      <c r="D21" s="8" t="n">
        <v>40000</v>
      </c>
      <c r="E21" s="8">
        <f>D21*1.1</f>
        <v>44000.0</v>
      </c>
      <c r="F21" s="8" t="n">
        <v>92500</v>
      </c>
      <c r="G21" s="9">
        <f>D21/F21</f>
        <v>0.4324324324</v>
      </c>
      <c r="H21" s="9">
        <f>1-G21</f>
        <v>0.5675675676</v>
      </c>
      <c r="I21" s="7" t="inlineStr">
        <is>
          <t>Not in October catalogue - availability unconfirmed</t>
        </is>
      </c>
      <c r="J21" s="7" t="inlineStr"/>
    </row>
    <row r="22">
      <c r="A22" s="6" t="n">
        <v>21</v>
      </c>
      <c r="B22" s="7" t="inlineStr">
        <is>
          <t>27 West Road, Shoeburyness, Southend-on-Sea, Essex, SS3 9DR</t>
        </is>
      </c>
      <c r="C22" s="6" t="inlineStr">
        <is>
          <t>Sept 115A</t>
        </is>
      </c>
      <c r="D22" s="8" t="n">
        <v>100000</v>
      </c>
      <c r="E22" s="8">
        <f>D22*1.1</f>
        <v>110000.0</v>
      </c>
      <c r="F22" s="8" t="n">
        <v>218000</v>
      </c>
      <c r="G22" s="9">
        <f>D22/F22</f>
        <v>0.4587155963</v>
      </c>
      <c r="H22" s="9">
        <f>1-G22</f>
        <v>0.5412844037</v>
      </c>
      <c r="I22" s="7" t="inlineStr">
        <is>
          <t>Not in October catalogue - availability unconfirmed</t>
        </is>
      </c>
      <c r="J22" s="7" t="inlineStr"/>
    </row>
    <row r="23">
      <c r="A23" s="2" t="n">
        <v>22</v>
      </c>
      <c r="B23" s="3" t="inlineStr">
        <is>
          <t>Apartment 43, 18 Church Street, Manchester, Lancashire, M4 1PN</t>
        </is>
      </c>
      <c r="C23" s="2" t="inlineStr">
        <is>
          <t>Sept 82</t>
        </is>
      </c>
      <c r="D23" s="4" t="n">
        <v>90000</v>
      </c>
      <c r="E23" s="4">
        <f>D23*1.1</f>
        <v>99000.0</v>
      </c>
      <c r="F23" s="4" t="n">
        <v>193000</v>
      </c>
      <c r="G23" s="5">
        <f>D23/F23</f>
        <v>0.4663212435</v>
      </c>
      <c r="H23" s="5">
        <f>1-G23</f>
        <v>0.5336787565</v>
      </c>
      <c r="I23" s="3" t="inlineStr">
        <is>
          <t>Not in October catalogue - availability unconfirmed</t>
        </is>
      </c>
      <c r="J23" s="3" t="inlineStr">
        <is>
          <t>Representative apartment; Apt 43 not isolatable</t>
        </is>
      </c>
    </row>
    <row r="24">
      <c r="A24" s="6" t="n">
        <v>23</v>
      </c>
      <c r="B24" s="7" t="inlineStr">
        <is>
          <t>Flat 3, 9 Queensland Road, Highbury, London, N7 7FH</t>
        </is>
      </c>
      <c r="C24" s="6" t="inlineStr">
        <is>
          <t>Sept 117</t>
        </is>
      </c>
      <c r="D24" s="8" t="n">
        <v>145000</v>
      </c>
      <c r="E24" s="8">
        <f>D24*1.1</f>
        <v>159500.0</v>
      </c>
      <c r="F24" s="8" t="n">
        <v>297000</v>
      </c>
      <c r="G24" s="9">
        <f>D24/F24</f>
        <v>0.4882154882</v>
      </c>
      <c r="H24" s="9">
        <f>1-G24</f>
        <v>0.5117845118</v>
      </c>
      <c r="I24" s="7" t="inlineStr">
        <is>
          <t>Not in October catalogue - availability unconfirmed</t>
        </is>
      </c>
      <c r="J24" s="7" t="inlineStr"/>
    </row>
    <row r="25">
      <c r="A25" s="6" t="n">
        <v>24</v>
      </c>
      <c r="B25" s="7" t="inlineStr">
        <is>
          <t>29 Hervey Street, Lowestoft, Suffolk, NR32 2JG</t>
        </is>
      </c>
      <c r="C25" s="6" t="inlineStr">
        <is>
          <t>Sept 63</t>
        </is>
      </c>
      <c r="D25" s="8" t="n">
        <v>75000</v>
      </c>
      <c r="E25" s="8">
        <f>D25*1.1</f>
        <v>82500.0</v>
      </c>
      <c r="F25" s="8" t="n">
        <v>153000</v>
      </c>
      <c r="G25" s="9">
        <f>D25/F25</f>
        <v>0.4901960784</v>
      </c>
      <c r="H25" s="9">
        <f>1-G25</f>
        <v>0.5098039216</v>
      </c>
      <c r="I25" s="7" t="inlineStr">
        <is>
          <t>Not in October catalogue - availability unconfirmed</t>
        </is>
      </c>
      <c r="J25" s="7" t="inlineStr"/>
    </row>
    <row r="26">
      <c r="A26" s="6" t="n">
        <v>25</v>
      </c>
      <c r="B26" s="7" t="inlineStr">
        <is>
          <t>21 Wyncham Avenue, Sidcup, Kent, DA15 8EU</t>
        </is>
      </c>
      <c r="C26" s="6" t="inlineStr">
        <is>
          <t>Sept 28A</t>
        </is>
      </c>
      <c r="D26" s="8" t="n">
        <v>295000</v>
      </c>
      <c r="E26" s="8">
        <f>D26*1.1</f>
        <v>324500.0</v>
      </c>
      <c r="F26" s="8" t="n">
        <v>585000</v>
      </c>
      <c r="G26" s="9">
        <f>D26/F26</f>
        <v>0.5042735043</v>
      </c>
      <c r="H26" s="9">
        <f>1-G26</f>
        <v>0.4957264957</v>
      </c>
      <c r="I26" s="7" t="inlineStr">
        <is>
          <t>Not in October catalogue - availability unconfirmed</t>
        </is>
      </c>
      <c r="J26" s="7" t="inlineStr"/>
    </row>
    <row r="27">
      <c r="A27" s="6" t="n">
        <v>26</v>
      </c>
      <c r="B27" s="7" t="inlineStr">
        <is>
          <t>65 Reeves Road, Derby, Derbyshire, DE23 8JF</t>
        </is>
      </c>
      <c r="C27" s="6" t="inlineStr">
        <is>
          <t>Sept 86</t>
        </is>
      </c>
      <c r="D27" s="8" t="n">
        <v>45000</v>
      </c>
      <c r="E27" s="8">
        <f>D27*1.1</f>
        <v>49500.0</v>
      </c>
      <c r="F27" s="8" t="n">
        <v>87500</v>
      </c>
      <c r="G27" s="9">
        <f>D27/F27</f>
        <v>0.5142857143</v>
      </c>
      <c r="H27" s="9">
        <f>1-G27</f>
        <v>0.4857142857</v>
      </c>
      <c r="I27" s="7" t="inlineStr">
        <is>
          <t>Not in October catalogue - availability unconfirmed</t>
        </is>
      </c>
      <c r="J27" s="7" t="inlineStr"/>
    </row>
    <row r="28">
      <c r="A28" s="2" t="n">
        <v>27</v>
      </c>
      <c r="B28" s="3" t="inlineStr">
        <is>
          <t>174B Bravington Road, Maida Vale, London, W9 3AP</t>
        </is>
      </c>
      <c r="C28" s="2" t="inlineStr">
        <is>
          <t>Sept 29</t>
        </is>
      </c>
      <c r="D28" s="4" t="n">
        <v>295000</v>
      </c>
      <c r="E28" s="4">
        <f>D28*1.1</f>
        <v>324500.0</v>
      </c>
      <c r="F28" s="4" t="n">
        <v>572000</v>
      </c>
      <c r="G28" s="5">
        <f>D28/F28</f>
        <v>0.5157342657</v>
      </c>
      <c r="H28" s="5">
        <f>1-G28</f>
        <v>0.4842657343</v>
      </c>
      <c r="I28" s="3" t="inlineStr">
        <is>
          <t>Not in October catalogue - availability unconfirmed</t>
        </is>
      </c>
      <c r="J28" s="3" t="inlineStr">
        <is>
          <t>AVM is 174 Bravington Rd whole property; lot is a 60-yr-lease flat</t>
        </is>
      </c>
    </row>
    <row r="29">
      <c r="A29" s="6" t="n">
        <v>28</v>
      </c>
      <c r="B29" s="7" t="inlineStr">
        <is>
          <t>29A High Street, March, Cambridgeshire, PE15 0XA</t>
        </is>
      </c>
      <c r="C29" s="6" t="inlineStr">
        <is>
          <t>Sept 111</t>
        </is>
      </c>
      <c r="D29" s="8" t="n">
        <v>95000</v>
      </c>
      <c r="E29" s="8">
        <f>D29*1.1</f>
        <v>104500.0</v>
      </c>
      <c r="F29" s="8" t="n">
        <v>178000</v>
      </c>
      <c r="G29" s="9">
        <f>D29/F29</f>
        <v>0.5337078652</v>
      </c>
      <c r="H29" s="9">
        <f>1-G29</f>
        <v>0.4662921348</v>
      </c>
      <c r="I29" s="7" t="inlineStr">
        <is>
          <t>Not in October catalogue - availability unconfirmed</t>
        </is>
      </c>
      <c r="J29" s="7" t="inlineStr"/>
    </row>
    <row r="30">
      <c r="A30" s="6" t="n">
        <v>29</v>
      </c>
      <c r="B30" s="7" t="inlineStr">
        <is>
          <t>Flat 41 Latchingdon Court, 26 Forest Road, Walthamstow, London, E17 6JT</t>
        </is>
      </c>
      <c r="C30" s="6" t="inlineStr">
        <is>
          <t>Sept 104</t>
        </is>
      </c>
      <c r="D30" s="8" t="n">
        <v>180000</v>
      </c>
      <c r="E30" s="8">
        <f>D30*1.1</f>
        <v>198000.0</v>
      </c>
      <c r="F30" s="8" t="n">
        <v>333000</v>
      </c>
      <c r="G30" s="9">
        <f>D30/F30</f>
        <v>0.5405405405</v>
      </c>
      <c r="H30" s="9">
        <f>1-G30</f>
        <v>0.4594594595</v>
      </c>
      <c r="I30" s="7" t="inlineStr">
        <is>
          <t>Not in October catalogue - availability unconfirmed</t>
        </is>
      </c>
      <c r="J30" s="7" t="inlineStr"/>
    </row>
    <row r="31">
      <c r="A31" s="6" t="n">
        <v>30</v>
      </c>
      <c r="B31" s="7" t="inlineStr">
        <is>
          <t>36 Hobart Road, Weston-super-Mare, Avon, BS23 4QN</t>
        </is>
      </c>
      <c r="C31" s="6" t="inlineStr">
        <is>
          <t>Sept 100</t>
        </is>
      </c>
      <c r="D31" s="8" t="n">
        <v>70000</v>
      </c>
      <c r="E31" s="8">
        <f>D31*1.1</f>
        <v>77000.0</v>
      </c>
      <c r="F31" s="8" t="n">
        <v>129000</v>
      </c>
      <c r="G31" s="9">
        <f>D31/F31</f>
        <v>0.5426356589</v>
      </c>
      <c r="H31" s="9">
        <f>1-G31</f>
        <v>0.4573643411</v>
      </c>
      <c r="I31" s="7" t="inlineStr">
        <is>
          <t>Not in October catalogue - availability unconfirmed</t>
        </is>
      </c>
      <c r="J31" s="7" t="inlineStr"/>
    </row>
  </sheetData>
  <autoFilter ref="A1:J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14" t="inlineStr">
        <is>
          <t>Top 30 by discount to Hometrack valuation</t>
        </is>
      </c>
    </row>
    <row r="2">
      <c r="A2" s="15" t="inlineStr"/>
    </row>
    <row r="3">
      <c r="A3" s="14" t="inlineStr">
        <is>
          <t>Ranking</t>
        </is>
      </c>
    </row>
    <row r="4">
      <c r="A4" s="15" t="inlineStr">
        <is>
          <t>Sorted by '% guide of valuation' ascending - the guide as a proportion of assessed value,</t>
        </is>
      </c>
    </row>
    <row r="5">
      <c r="A5" s="15" t="inlineStr">
        <is>
          <t>so the largest discounts are at the top. 'Discount to valuation' is 1 minus that.</t>
        </is>
      </c>
    </row>
    <row r="6">
      <c r="A6" s="15" t="inlineStr">
        <is>
          <t>Guide +10% is the guide times 1.1, as requested. Range guides use the LOW end.</t>
        </is>
      </c>
    </row>
    <row r="7">
      <c r="A7" s="15" t="inlineStr"/>
    </row>
    <row r="8">
      <c r="A8" s="14" t="inlineStr">
        <is>
          <t>What could be ranked</t>
        </is>
      </c>
    </row>
    <row r="9">
      <c r="A9" s="15" t="inlineStr">
        <is>
          <t>Only lots with BOTH a guide and a numeric Hometrack figure can be ranked: 69 of the 100</t>
        </is>
      </c>
    </row>
    <row r="10">
      <c r="A10" s="15" t="inlineStr">
        <is>
          <t>we track. The other 31 are land, garages, parking spaces, commercial units and flats the</t>
        </is>
      </c>
    </row>
    <row r="11">
      <c r="A11" s="15" t="inlineStr">
        <is>
          <t>AVM could not isolate, so no discount can be computed for them.</t>
        </is>
      </c>
    </row>
    <row r="12">
      <c r="A12" s="15" t="inlineStr"/>
    </row>
    <row r="13">
      <c r="A13" s="14" t="inlineStr">
        <is>
          <t>AVAILABILITY - READ BEFORE ACTING</t>
        </is>
      </c>
    </row>
    <row r="14">
      <c r="A14" s="15" t="inlineStr">
        <is>
          <t>Only 3 of these 30 are confirmed in the 7-8 October catalogue (shaded green).</t>
        </is>
      </c>
    </row>
    <row r="15">
      <c r="A15" s="15" t="inlineStr">
        <is>
          <t>The rest come from our September tracked list. That auction has run, so they may have sold,</t>
        </is>
      </c>
    </row>
    <row r="16">
      <c r="A16" s="15" t="inlineStr">
        <is>
          <t>been withdrawn, or remain unsold and available - we cannot tell from what we hold. Checking</t>
        </is>
      </c>
    </row>
    <row r="17">
      <c r="A17" s="15" t="inlineStr">
        <is>
          <t>needs the auction house's 'lots still available' page, which has not been captured.</t>
        </is>
      </c>
    </row>
    <row r="18">
      <c r="A18" s="15" t="inlineStr">
        <is>
          <t>Only 11 of the 107 October lots have a Hometrack valuation at all, which is why a top 30</t>
        </is>
      </c>
    </row>
    <row r="19">
      <c r="A19" s="15" t="inlineStr">
        <is>
          <t>cannot be drawn from the October sale alone.</t>
        </is>
      </c>
    </row>
    <row r="20">
      <c r="A20" s="15" t="inlineStr"/>
    </row>
    <row r="21">
      <c r="A21" s="14" t="inlineStr">
        <is>
          <t>VALUATION CHECK COLUMN</t>
        </is>
      </c>
    </row>
    <row r="22">
      <c r="A22" s="15" t="inlineStr">
        <is>
          <t>14 of these 30 are shaded amber because the Hometrack figure is not cleanly for the</t>
        </is>
      </c>
    </row>
    <row r="23">
      <c r="A23" s="15" t="inlineStr">
        <is>
          <t>lot being sold - it is the whole building, a representative unit, or a neighbouring property.</t>
        </is>
      </c>
    </row>
    <row r="24">
      <c r="A24" s="15" t="inlineStr">
        <is>
          <t>Their discounts may be fiction. The caveats come from the source spreadsheet's own notes.</t>
        </is>
      </c>
    </row>
    <row r="25">
      <c r="A25" s="15" t="inlineStr">
        <is>
          <t>A very large discount on an amber row is a reason to check the valuation, not to bid.</t>
        </is>
      </c>
    </row>
    <row r="26">
      <c r="A26" s="15" t="inlineStr"/>
    </row>
    <row r="27">
      <c r="A27" s="14" t="inlineStr">
        <is>
          <t>Sources</t>
        </is>
      </c>
    </row>
    <row r="28">
      <c r="A28" s="15" t="inlineStr">
        <is>
          <t>Guides: auctionhouselondon.co.uk/current-auction, fetched 16 September 2026, for lots in the</t>
        </is>
      </c>
    </row>
    <row r="29">
      <c r="A29" s="15" t="inlineStr">
        <is>
          <t>October sale; the September catalogue otherwise. Hometrack valuations: from the source</t>
        </is>
      </c>
    </row>
    <row r="30">
      <c r="A30" s="15" t="inlineStr">
        <is>
          <t>spreadsheet, Dropbox /Clients/Vance/110 portfolio/October auction.xlsx.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2026-09-16T07:14:17Z</dcterms:created>
  <dcterms:modified xsi:type="dcterms:W3CDTF">2026-09-16T07:14:17Z</dcterms:modified>
</cp:coreProperties>
</file>