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orking list" sheetId="1" state="visible" r:id="rId1"/>
    <sheet name="Checked list" sheetId="2" state="visible" r:id="rId2"/>
    <sheet name="Notes" sheetId="3" state="visible" r:id="rId3"/>
  </sheets>
  <definedNames>
    <definedName name="_xlnm._FilterDatabase" localSheetId="0" hidden="1">'Working list'!$A$1:$D$101</definedName>
    <definedName name="_xlnm._FilterDatabase" localSheetId="1" hidden="1">'Checked list'!$A$1:$O$101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£#,##0;(£#,##0);-"/>
    <numFmt numFmtId="165" formatCode="0.0%;(0.0%);-"/>
  </numFmts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7030A0"/>
      </patternFill>
    </fill>
    <fill>
      <patternFill patternType="solid">
        <fgColor rgb="00E2EFDA"/>
      </patternFill>
    </fill>
    <fill>
      <patternFill patternType="solid">
        <fgColor rgb="00F2DCDB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vertical="top"/>
    </xf>
    <xf numFmtId="0" fontId="2" fillId="4" borderId="1" applyAlignment="1" pivotButton="0" quotePrefix="0" xfId="0">
      <alignment vertical="top" wrapText="1"/>
    </xf>
    <xf numFmtId="164" fontId="2" fillId="4" borderId="1" applyAlignment="1" pivotButton="0" quotePrefix="0" xfId="0">
      <alignment vertical="top"/>
    </xf>
    <xf numFmtId="165" fontId="2" fillId="4" borderId="1" applyAlignment="1" pivotButton="0" quotePrefix="0" xfId="0">
      <alignment vertical="top"/>
    </xf>
    <xf numFmtId="0" fontId="2" fillId="5" borderId="1" applyAlignment="1" pivotButton="0" quotePrefix="0" xfId="0">
      <alignment vertical="top"/>
    </xf>
    <xf numFmtId="0" fontId="2" fillId="5" borderId="1" applyAlignment="1" pivotButton="0" quotePrefix="0" xfId="0">
      <alignment vertical="top" wrapText="1"/>
    </xf>
    <xf numFmtId="164" fontId="2" fillId="5" borderId="1" applyAlignment="1" pivotButton="0" quotePrefix="0" xfId="0">
      <alignment vertical="top"/>
    </xf>
    <xf numFmtId="165" fontId="2" fillId="5" borderId="1" applyAlignment="1" pivotButton="0" quotePrefix="0" xfId="0">
      <alignment vertical="top"/>
    </xf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 wrapText="1"/>
    </xf>
    <xf numFmtId="164" fontId="2" fillId="0" borderId="1" applyAlignment="1" pivotButton="0" quotePrefix="0" xfId="0">
      <alignment vertical="top"/>
    </xf>
    <xf numFmtId="165" fontId="2" fillId="0" borderId="1" applyAlignment="1" pivotButton="0" quotePrefix="0" xfId="0">
      <alignment vertical="top"/>
    </xf>
    <xf numFmtId="0" fontId="3" fillId="0" borderId="0" applyAlignment="1" pivotButton="0" quotePrefix="0" xfId="0">
      <alignment vertical="top"/>
    </xf>
    <xf numFmtId="0" fontId="2" fillId="0" borderId="0" applyAlignment="1" pivotButton="0" quotePrefix="0" xfId="0">
      <alignment vertical="top"/>
    </xf>
    <xf numFmtId="164" fontId="2" fillId="4" borderId="1" applyAlignment="1" pivotButton="0" quotePrefix="0" xfId="0">
      <alignment vertical="top"/>
    </xf>
    <xf numFmtId="0" fontId="2" fillId="4" borderId="1" applyAlignment="1" pivotButton="0" quotePrefix="0" xfId="0">
      <alignment vertical="top"/>
    </xf>
    <xf numFmtId="164" fontId="2" fillId="5" borderId="1" applyAlignment="1" pivotButton="0" quotePrefix="0" xfId="0">
      <alignment vertical="top"/>
    </xf>
    <xf numFmtId="0" fontId="2" fillId="5" borderId="1" applyAlignment="1" pivotButton="0" quotePrefix="0" xfId="0">
      <alignment vertical="top"/>
    </xf>
    <xf numFmtId="164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/>
    </xf>
    <xf numFmtId="0" fontId="3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2" customWidth="1" min="1" max="1"/>
    <col width="16" customWidth="1" min="2" max="2"/>
    <col width="20" customWidth="1" min="3" max="3"/>
    <col width="16" customWidth="1" min="4" max="4"/>
  </cols>
  <sheetData>
    <row r="1">
      <c r="A1" s="1" t="inlineStr">
        <is>
          <t>Address</t>
        </is>
      </c>
      <c r="B1" s="1" t="inlineStr">
        <is>
          <t>Guide price</t>
        </is>
      </c>
      <c r="C1" s="1" t="inlineStr">
        <is>
          <t>Hometrack valuation</t>
        </is>
      </c>
      <c r="D1" s="1" t="inlineStr">
        <is>
          <t>Guide +20%</t>
        </is>
      </c>
    </row>
    <row r="2">
      <c r="A2" s="4" t="inlineStr">
        <is>
          <t>10 Eider Close, Hayes, Middlesex, UB4 9TD</t>
        </is>
      </c>
      <c r="B2" s="17" t="n">
        <v>395000</v>
      </c>
      <c r="C2" s="17" t="n">
        <v>458000</v>
      </c>
      <c r="D2" s="17">
        <f>IFERROR(B2*1.2,"")</f>
        <v>474000.0</v>
      </c>
    </row>
    <row r="3">
      <c r="A3" s="4" t="inlineStr">
        <is>
          <t>2102 Kew Eye Apartments, Ealing Road, Brentford, Middlesex, TW8 0GA</t>
        </is>
      </c>
      <c r="B3" s="17" t="n">
        <v>410000</v>
      </c>
      <c r="C3" s="17" t="n">
        <v>499000</v>
      </c>
      <c r="D3" s="17">
        <f>IFERROR(B3*1.2,"")</f>
        <v>492000.0</v>
      </c>
    </row>
    <row r="4">
      <c r="A4" s="4" t="inlineStr">
        <is>
          <t>Sandly Court, 39 Queens Road, Southport, Merseyside, PR9 9EX</t>
        </is>
      </c>
      <c r="B4" s="17" t="n">
        <v>320000</v>
      </c>
      <c r="C4" s="18" t="inlineStr">
        <is>
          <t>N/A</t>
        </is>
      </c>
      <c r="D4" s="17">
        <f>IFERROR(B4*1.2,"")</f>
        <v>384000.0</v>
      </c>
    </row>
    <row r="5">
      <c r="A5" s="4" t="inlineStr">
        <is>
          <t>Flat 3 Regatta Point, 1 Manilla Street, Canary Wharf, London, E14 8JZ</t>
        </is>
      </c>
      <c r="B5" s="17" t="n">
        <v>225000</v>
      </c>
      <c r="C5" s="17" t="n">
        <v>370000</v>
      </c>
      <c r="D5" s="17">
        <f>IFERROR(B5*1.2,"")</f>
        <v>270000.0</v>
      </c>
    </row>
    <row r="6">
      <c r="A6" s="4" t="inlineStr">
        <is>
          <t>Flat 11 Regatta Point, 1 Manilla Street, Canary Wharf, London, E14 8JZ</t>
        </is>
      </c>
      <c r="B6" s="17" t="n">
        <v>180000</v>
      </c>
      <c r="C6" s="17" t="n">
        <v>303000</v>
      </c>
      <c r="D6" s="17">
        <f>IFERROR(B6*1.2,"")</f>
        <v>216000.0</v>
      </c>
    </row>
    <row r="7">
      <c r="A7" s="4" t="inlineStr">
        <is>
          <t>9 Victoria Road, Margate, Kent, CT9 1LN</t>
        </is>
      </c>
      <c r="B7" s="17" t="n">
        <v>90000</v>
      </c>
      <c r="C7" s="17" t="n">
        <v>238000</v>
      </c>
      <c r="D7" s="17">
        <f>IFERROR(B7*1.2,"")</f>
        <v>108000.0</v>
      </c>
    </row>
    <row r="8">
      <c r="A8" s="4" t="inlineStr">
        <is>
          <t>Flat 4, 280 Wimborne Road, Bournemouth, Dorset, BH3 7AT</t>
        </is>
      </c>
      <c r="B8" s="17" t="n">
        <v>45000</v>
      </c>
      <c r="C8" s="18" t="inlineStr">
        <is>
          <t>N/A</t>
        </is>
      </c>
      <c r="D8" s="17">
        <f>IFERROR(B8*1.2,"")</f>
        <v>54000.0</v>
      </c>
    </row>
    <row r="9">
      <c r="A9" s="4" t="inlineStr">
        <is>
          <t>Flat 105, 2 Moorfields, Liverpool, Merseyside, L2 2BS</t>
        </is>
      </c>
      <c r="B9" s="17" t="n">
        <v>20000</v>
      </c>
      <c r="C9" s="17" t="n">
        <v>90000</v>
      </c>
      <c r="D9" s="17">
        <f>IFERROR(B9*1.2,"")</f>
        <v>24000.0</v>
      </c>
    </row>
    <row r="10">
      <c r="A10" s="4" t="inlineStr">
        <is>
          <t>Apartment 006 New Bank House, 100 Queen Street, Sheffield, South Yorkshire, S1 2FA</t>
        </is>
      </c>
      <c r="B10" s="17" t="n">
        <v>5000</v>
      </c>
      <c r="C10" s="17" t="n">
        <v>58000</v>
      </c>
      <c r="D10" s="17">
        <f>IFERROR(B10*1.2,"")</f>
        <v>6000.0</v>
      </c>
    </row>
    <row r="11">
      <c r="A11" s="4" t="inlineStr">
        <is>
          <t>Parking Space 31 Lollard Street, Lambeth, London, SE11 6PX</t>
        </is>
      </c>
      <c r="B11" s="17" t="n">
        <v>5000</v>
      </c>
      <c r="C11" s="18" t="inlineStr">
        <is>
          <t>N/A - parking</t>
        </is>
      </c>
      <c r="D11" s="17">
        <f>IFERROR(B11*1.2,"")</f>
        <v>6000.0</v>
      </c>
    </row>
    <row r="12">
      <c r="A12" s="4" t="inlineStr">
        <is>
          <t>Parking Space at 99 Mile End Road, Tower Hamlets, London, E1 4UH</t>
        </is>
      </c>
      <c r="B12" s="17" t="n">
        <v>5000</v>
      </c>
      <c r="C12" s="18" t="inlineStr">
        <is>
          <t>N/A - parking</t>
        </is>
      </c>
      <c r="D12" s="17">
        <f>IFERROR(B12*1.2,"")</f>
        <v>6000.0</v>
      </c>
    </row>
    <row r="13">
      <c r="A13" s="8" t="inlineStr">
        <is>
          <t>Garage at 1 The Chestnuts, Gwydor Road, Beckenham, Kent, BR3 4DU</t>
        </is>
      </c>
      <c r="B13" s="19" t="n">
        <v>8000</v>
      </c>
      <c r="C13" s="20" t="inlineStr">
        <is>
          <t>N/A - garage</t>
        </is>
      </c>
      <c r="D13" s="19">
        <f>IFERROR(B13*1.2,"")</f>
        <v>9600.0</v>
      </c>
    </row>
    <row r="14">
      <c r="A14" s="8" t="inlineStr">
        <is>
          <t>Land to the Rear of 103 Church Street, Broadstairs, Kent, CT10 2TX</t>
        </is>
      </c>
      <c r="B14" s="19" t="n">
        <v>10000</v>
      </c>
      <c r="C14" s="20" t="inlineStr">
        <is>
          <t>N/A - land</t>
        </is>
      </c>
      <c r="D14" s="19">
        <f>IFERROR(B14*1.2,"")</f>
        <v>12000.0</v>
      </c>
    </row>
    <row r="15">
      <c r="A15" s="12" t="inlineStr">
        <is>
          <t>Land Adjacent to The Gables, Banters Lane, Great Leighs, Chelmsford, Essex, CM3 1NT</t>
        </is>
      </c>
      <c r="B15" s="21" t="n">
        <v>1150000</v>
      </c>
      <c r="C15" s="22" t="inlineStr">
        <is>
          <t>N/A - land</t>
        </is>
      </c>
      <c r="D15" s="21">
        <f>IFERROR(B15*1.2,"")</f>
        <v>1380000.0</v>
      </c>
    </row>
    <row r="16">
      <c r="A16" s="12" t="inlineStr">
        <is>
          <t>52 Bushey Grove Road, Bushey, Hertfordshire, WD23 2JJ</t>
        </is>
      </c>
      <c r="B16" s="21" t="n">
        <v>875000</v>
      </c>
      <c r="C16" s="21" t="n">
        <v>875000</v>
      </c>
      <c r="D16" s="21">
        <f>IFERROR(B16*1.2,"")</f>
        <v>1050000.0</v>
      </c>
    </row>
    <row r="17">
      <c r="A17" s="12" t="inlineStr">
        <is>
          <t>104 Graveney Road, Tooting, London, SW17 0EH</t>
        </is>
      </c>
      <c r="B17" s="21" t="n">
        <v>775000</v>
      </c>
      <c r="C17" s="21" t="n">
        <v>900000</v>
      </c>
      <c r="D17" s="21">
        <f>IFERROR(B17*1.2,"")</f>
        <v>930000.0</v>
      </c>
    </row>
    <row r="18">
      <c r="A18" s="12" t="inlineStr">
        <is>
          <t>23 Selkirk Road, Tooting, London, SW17 0ER</t>
        </is>
      </c>
      <c r="B18" s="21" t="n">
        <v>775000</v>
      </c>
      <c r="C18" s="21" t="n">
        <v>965000</v>
      </c>
      <c r="D18" s="21">
        <f>IFERROR(B18*1.2,"")</f>
        <v>930000.0</v>
      </c>
    </row>
    <row r="19">
      <c r="A19" s="12" t="inlineStr">
        <is>
          <t>63 Warner Road, Camberwell, London, SE5 9NE</t>
        </is>
      </c>
      <c r="B19" s="21" t="n">
        <v>725000</v>
      </c>
      <c r="C19" s="21" t="n">
        <v>521000</v>
      </c>
      <c r="D19" s="21">
        <f>IFERROR(B19*1.2,"")</f>
        <v>870000.0</v>
      </c>
    </row>
    <row r="20">
      <c r="A20" s="12" t="inlineStr">
        <is>
          <t>9 Fallow Court Avenue, Finchley, London, N12 0EA</t>
        </is>
      </c>
      <c r="B20" s="21" t="n">
        <v>695000</v>
      </c>
      <c r="C20" s="21" t="n">
        <v>731000</v>
      </c>
      <c r="D20" s="21">
        <f>IFERROR(B20*1.2,"")</f>
        <v>834000.0</v>
      </c>
    </row>
    <row r="21">
      <c r="A21" s="12" t="inlineStr">
        <is>
          <t>196A St. Ann's Hill, Wandsworth, London, SW18 2RT</t>
        </is>
      </c>
      <c r="B21" s="21" t="n">
        <v>600000</v>
      </c>
      <c r="C21" s="21" t="n">
        <v>815000</v>
      </c>
      <c r="D21" s="21">
        <f>IFERROR(B21*1.2,"")</f>
        <v>720000.0</v>
      </c>
    </row>
    <row r="22">
      <c r="A22" s="12" t="inlineStr">
        <is>
          <t>68 St. Margarets Avenue, Whetstone, London, N20 9LJ</t>
        </is>
      </c>
      <c r="B22" s="21" t="n">
        <v>550000</v>
      </c>
      <c r="C22" s="21" t="n">
        <v>775000</v>
      </c>
      <c r="D22" s="21">
        <f>IFERROR(B22*1.2,"")</f>
        <v>660000.0</v>
      </c>
    </row>
    <row r="23">
      <c r="A23" s="12" t="inlineStr">
        <is>
          <t>Holmshill House, Summerswood Lane, Borehamwood, Hertfordshire, WD6 5PG</t>
        </is>
      </c>
      <c r="B23" s="21" t="n">
        <v>525000</v>
      </c>
      <c r="C23" s="21" t="n">
        <v>1250000</v>
      </c>
      <c r="D23" s="21">
        <f>IFERROR(B23*1.2,"")</f>
        <v>630000.0</v>
      </c>
    </row>
    <row r="24">
      <c r="A24" s="12" t="inlineStr">
        <is>
          <t>396 Forest Road, Walthamstow, London, E17 5JF</t>
        </is>
      </c>
      <c r="B24" s="21" t="n">
        <v>500000</v>
      </c>
      <c r="C24" s="21" t="n">
        <v>468000</v>
      </c>
      <c r="D24" s="21">
        <f>IFERROR(B24*1.2,"")</f>
        <v>600000.0</v>
      </c>
    </row>
    <row r="25">
      <c r="A25" s="12" t="inlineStr">
        <is>
          <t>Flat 91 Celeste House, 1 Caversham Road, Colindale, London, NW4 4DT</t>
        </is>
      </c>
      <c r="B25" s="21" t="n">
        <v>500000</v>
      </c>
      <c r="C25" s="21" t="n">
        <v>693000</v>
      </c>
      <c r="D25" s="21">
        <f>IFERROR(B25*1.2,"")</f>
        <v>600000.0</v>
      </c>
    </row>
    <row r="26">
      <c r="A26" s="12" t="inlineStr">
        <is>
          <t>78 Park Chase, Wembley, Middlesex, HA9 8EH</t>
        </is>
      </c>
      <c r="B26" s="21" t="n">
        <v>450000</v>
      </c>
      <c r="C26" s="21" t="n">
        <v>463000</v>
      </c>
      <c r="D26" s="21">
        <f>IFERROR(B26*1.2,"")</f>
        <v>540000.0</v>
      </c>
    </row>
    <row r="27">
      <c r="A27" s="12" t="inlineStr">
        <is>
          <t>Archie Court, 43 Marina, St Leonards-on-Sea, East Sussex, TN38 0BE</t>
        </is>
      </c>
      <c r="B27" s="21" t="n">
        <v>450000</v>
      </c>
      <c r="C27" s="22" t="inlineStr">
        <is>
          <t>N/A</t>
        </is>
      </c>
      <c r="D27" s="21">
        <f>IFERROR(B27*1.2,"")</f>
        <v>540000.0</v>
      </c>
    </row>
    <row r="28">
      <c r="A28" s="12" t="inlineStr">
        <is>
          <t>15 Palestine Grove, Colliers Wood, London, SW19 2QN</t>
        </is>
      </c>
      <c r="B28" s="21" t="n">
        <v>425000</v>
      </c>
      <c r="C28" s="21" t="n">
        <v>581000</v>
      </c>
      <c r="D28" s="21">
        <f>IFERROR(B28*1.2,"")</f>
        <v>510000.0</v>
      </c>
    </row>
    <row r="29">
      <c r="A29" s="12" t="inlineStr">
        <is>
          <t>Flat 23, 2 Manilla Street, Canary Wharf, London, E14 8GB</t>
        </is>
      </c>
      <c r="B29" s="21" t="n">
        <v>350000</v>
      </c>
      <c r="C29" s="21" t="n">
        <v>534000</v>
      </c>
      <c r="D29" s="21">
        <f>IFERROR(B29*1.2,"")</f>
        <v>420000.0</v>
      </c>
    </row>
    <row r="30">
      <c r="A30" s="12" t="inlineStr">
        <is>
          <t>2 Holliday Street, Berkhamsted, Hertfordshire, HP4 2EE</t>
        </is>
      </c>
      <c r="B30" s="21" t="n">
        <v>325000</v>
      </c>
      <c r="C30" s="21" t="n">
        <v>491000</v>
      </c>
      <c r="D30" s="21">
        <f>IFERROR(B30*1.2,"")</f>
        <v>390000.0</v>
      </c>
    </row>
    <row r="31">
      <c r="A31" s="12" t="inlineStr">
        <is>
          <t>19 Jarvis Road, South Croydon, Surrey, CR2 6HW</t>
        </is>
      </c>
      <c r="B31" s="21" t="n">
        <v>300000</v>
      </c>
      <c r="C31" s="21" t="n">
        <v>313000</v>
      </c>
      <c r="D31" s="21">
        <f>IFERROR(B31*1.2,"")</f>
        <v>360000.0</v>
      </c>
    </row>
    <row r="32">
      <c r="A32" s="12" t="inlineStr">
        <is>
          <t>73 Hampton Road, Teddington, Middlesex, TW11 0LA</t>
        </is>
      </c>
      <c r="B32" s="21" t="n">
        <v>300000</v>
      </c>
      <c r="C32" s="21" t="n">
        <v>533000</v>
      </c>
      <c r="D32" s="21">
        <f>IFERROR(B32*1.2,"")</f>
        <v>360000.0</v>
      </c>
    </row>
    <row r="33">
      <c r="A33" s="12" t="inlineStr">
        <is>
          <t>21 Wyncham Avenue, Sidcup, Kent, DA15 8EU</t>
        </is>
      </c>
      <c r="B33" s="21" t="n">
        <v>295000</v>
      </c>
      <c r="C33" s="21" t="n">
        <v>585000</v>
      </c>
      <c r="D33" s="21">
        <f>IFERROR(B33*1.2,"")</f>
        <v>354000.0</v>
      </c>
    </row>
    <row r="34">
      <c r="A34" s="12" t="inlineStr">
        <is>
          <t>174B Bravington Road, Maida Vale, London, W9 3AP</t>
        </is>
      </c>
      <c r="B34" s="21" t="n">
        <v>295000</v>
      </c>
      <c r="C34" s="21" t="n">
        <v>572000</v>
      </c>
      <c r="D34" s="21">
        <f>IFERROR(B34*1.2,"")</f>
        <v>354000.0</v>
      </c>
    </row>
    <row r="35">
      <c r="A35" s="12" t="inlineStr">
        <is>
          <t>17-19 Umberston Street, Tower Hamlets, London, E1 1PY</t>
        </is>
      </c>
      <c r="B35" s="21" t="n">
        <v>275000</v>
      </c>
      <c r="C35" s="22" t="inlineStr">
        <is>
          <t>N/A - commercial</t>
        </is>
      </c>
      <c r="D35" s="21">
        <f>IFERROR(B35*1.2,"")</f>
        <v>330000.0</v>
      </c>
    </row>
    <row r="36">
      <c r="A36" s="12" t="inlineStr">
        <is>
          <t>Land Adjacent to Esso, Hogg Lane, Grays, Essex, RM17 5JA</t>
        </is>
      </c>
      <c r="B36" s="21" t="n">
        <v>235000</v>
      </c>
      <c r="C36" s="22" t="inlineStr">
        <is>
          <t>N/A - land</t>
        </is>
      </c>
      <c r="D36" s="21">
        <f>IFERROR(B36*1.2,"")</f>
        <v>282000.0</v>
      </c>
    </row>
    <row r="37">
      <c r="A37" s="12" t="inlineStr">
        <is>
          <t>98 Victoria Road North, Southsea, Hampshire, PO5 1QE</t>
        </is>
      </c>
      <c r="B37" s="21" t="n">
        <v>220000</v>
      </c>
      <c r="C37" s="21" t="n">
        <v>269000</v>
      </c>
      <c r="D37" s="21">
        <f>IFERROR(B37*1.2,"")</f>
        <v>264000.0</v>
      </c>
    </row>
    <row r="38">
      <c r="A38" s="12" t="inlineStr">
        <is>
          <t>9 St Anns Court, 45 Sunningfields Road, Hendon, London, NW4 4QY</t>
        </is>
      </c>
      <c r="B38" s="21" t="n">
        <v>200000</v>
      </c>
      <c r="C38" s="21" t="n">
        <v>250000</v>
      </c>
      <c r="D38" s="21">
        <f>IFERROR(B38*1.2,"")</f>
        <v>240000.0</v>
      </c>
    </row>
    <row r="39">
      <c r="A39" s="12" t="inlineStr">
        <is>
          <t>Ground Floor and Basement Flat, 134 Gipsy Hill, Crystal Palace, London, SE19 1PW</t>
        </is>
      </c>
      <c r="B39" s="21" t="n">
        <v>200000</v>
      </c>
      <c r="C39" s="21" t="n">
        <v>368000</v>
      </c>
      <c r="D39" s="21">
        <f>IFERROR(B39*1.2,"")</f>
        <v>240000.0</v>
      </c>
    </row>
    <row r="40">
      <c r="A40" s="12" t="inlineStr">
        <is>
          <t>Foelas Residential Home, Station Road, Llanrug, Caernarfon, Gwynedd, LL55 4BE</t>
        </is>
      </c>
      <c r="B40" s="21" t="n">
        <v>200000</v>
      </c>
      <c r="C40" s="22" t="inlineStr">
        <is>
          <t>N/A</t>
        </is>
      </c>
      <c r="D40" s="21">
        <f>IFERROR(B40*1.2,"")</f>
        <v>240000.0</v>
      </c>
    </row>
    <row r="41">
      <c r="A41" s="12" t="inlineStr">
        <is>
          <t>Unit 6-6B South Middleton Base, Greenwell Road, Aberdeen, AB12 3AX</t>
        </is>
      </c>
      <c r="B41" s="21" t="n">
        <v>200000</v>
      </c>
      <c r="C41" s="22" t="inlineStr">
        <is>
          <t>N/A - commercial</t>
        </is>
      </c>
      <c r="D41" s="21">
        <f>IFERROR(B41*1.2,"")</f>
        <v>240000.0</v>
      </c>
    </row>
    <row r="42">
      <c r="A42" s="12" t="inlineStr">
        <is>
          <t>Flat 17 Forest Croft, Taymount Rise, Forest Hill, London, SE23 3UN</t>
        </is>
      </c>
      <c r="B42" s="21" t="n">
        <v>200000</v>
      </c>
      <c r="C42" s="21" t="n">
        <v>256000</v>
      </c>
      <c r="D42" s="21">
        <f>IFERROR(B42*1.2,"")</f>
        <v>240000.0</v>
      </c>
    </row>
    <row r="43">
      <c r="A43" s="12" t="inlineStr">
        <is>
          <t>29 The Crescent, Eastbourne, East Sussex, BN20 8PX</t>
        </is>
      </c>
      <c r="B43" s="21" t="n">
        <v>200000</v>
      </c>
      <c r="C43" s="21" t="n">
        <v>203000</v>
      </c>
      <c r="D43" s="21">
        <f>IFERROR(B43*1.2,"")</f>
        <v>240000.0</v>
      </c>
    </row>
    <row r="44">
      <c r="A44" s="12" t="inlineStr">
        <is>
          <t>21 Greenfield Road, Pulloxhill, Bedford, Bedfordshire, MK45 5EZ</t>
        </is>
      </c>
      <c r="B44" s="21" t="n">
        <v>200000</v>
      </c>
      <c r="C44" s="21" t="n">
        <v>366000</v>
      </c>
      <c r="D44" s="21">
        <f>IFERROR(B44*1.2,"")</f>
        <v>240000.0</v>
      </c>
    </row>
    <row r="45">
      <c r="A45" s="12" t="inlineStr">
        <is>
          <t>21 Preston Lane, Lyneham, Chippenham, Wiltshire, SN15 4AR</t>
        </is>
      </c>
      <c r="B45" s="21" t="n">
        <v>200000</v>
      </c>
      <c r="C45" s="21" t="n">
        <v>252000</v>
      </c>
      <c r="D45" s="21">
        <f>IFERROR(B45*1.2,"")</f>
        <v>240000.0</v>
      </c>
    </row>
    <row r="46">
      <c r="A46" s="12" t="inlineStr">
        <is>
          <t>103 Buckingham Road, Edgware, Middlesex, HA8 6NN</t>
        </is>
      </c>
      <c r="B46" s="21" t="n">
        <v>185000</v>
      </c>
      <c r="C46" s="21" t="n">
        <v>190000</v>
      </c>
      <c r="D46" s="21">
        <f>IFERROR(B46*1.2,"")</f>
        <v>222000.0</v>
      </c>
    </row>
    <row r="47">
      <c r="A47" s="12" t="inlineStr">
        <is>
          <t>Flat 41 Latchingdon Court, 26 Forest Road, Walthamstow, London, E17 6JT</t>
        </is>
      </c>
      <c r="B47" s="21" t="n">
        <v>180000</v>
      </c>
      <c r="C47" s="21" t="n">
        <v>333000</v>
      </c>
      <c r="D47" s="21">
        <f>IFERROR(B47*1.2,"")</f>
        <v>216000.0</v>
      </c>
    </row>
    <row r="48">
      <c r="A48" s="12" t="inlineStr">
        <is>
          <t>13 Hope Street, Crook, County Durham, DL15 9HS</t>
        </is>
      </c>
      <c r="B48" s="21" t="n">
        <v>175000</v>
      </c>
      <c r="C48" s="21" t="n">
        <v>95000</v>
      </c>
      <c r="D48" s="21">
        <f>IFERROR(B48*1.2,"")</f>
        <v>210000.0</v>
      </c>
    </row>
    <row r="49">
      <c r="A49" s="12" t="inlineStr">
        <is>
          <t>Flat 43 Ferrydale Lodge, 48 Church Road, Hendon, London, NW4 4EW</t>
        </is>
      </c>
      <c r="B49" s="21" t="n">
        <v>170000</v>
      </c>
      <c r="C49" s="21" t="n">
        <v>224000</v>
      </c>
      <c r="D49" s="21">
        <f>IFERROR(B49*1.2,"")</f>
        <v>204000.0</v>
      </c>
    </row>
    <row r="50">
      <c r="A50" s="12" t="inlineStr">
        <is>
          <t>325A London Road, Westcliff-on-Sea, Essex, SS0 7BX</t>
        </is>
      </c>
      <c r="B50" s="21" t="n">
        <v>160000</v>
      </c>
      <c r="C50" s="21" t="n">
        <v>161000</v>
      </c>
      <c r="D50" s="21">
        <f>IFERROR(B50*1.2,"")</f>
        <v>192000.0</v>
      </c>
    </row>
    <row r="51">
      <c r="A51" s="12" t="inlineStr">
        <is>
          <t>71 Fakes Road, Hemsby, Great Yarmouth, Norfolk, NR29 4JL</t>
        </is>
      </c>
      <c r="B51" s="21" t="n">
        <v>160000</v>
      </c>
      <c r="C51" s="21" t="n">
        <v>241000</v>
      </c>
      <c r="D51" s="21">
        <f>IFERROR(B51*1.2,"")</f>
        <v>192000.0</v>
      </c>
    </row>
    <row r="52">
      <c r="A52" s="12" t="inlineStr">
        <is>
          <t>Flat 4 Maple Court, 1 Lower Coombe Street, Croydon, Surrey, CR0 1AA</t>
        </is>
      </c>
      <c r="B52" s="21" t="n">
        <v>150000</v>
      </c>
      <c r="C52" s="21" t="n">
        <v>248000</v>
      </c>
      <c r="D52" s="21">
        <f>IFERROR(B52*1.2,"")</f>
        <v>180000.0</v>
      </c>
    </row>
    <row r="53">
      <c r="A53" s="12" t="inlineStr">
        <is>
          <t>Flat 3, 9 Queensland Road, Highbury, London, N7 7FH</t>
        </is>
      </c>
      <c r="B53" s="21" t="n">
        <v>145000</v>
      </c>
      <c r="C53" s="21" t="n">
        <v>297000</v>
      </c>
      <c r="D53" s="21">
        <f>IFERROR(B53*1.2,"")</f>
        <v>174000.0</v>
      </c>
    </row>
    <row r="54">
      <c r="A54" s="12" t="inlineStr">
        <is>
          <t>102-104 High Street, Redcar, Cleveland, TS10 3DL</t>
        </is>
      </c>
      <c r="B54" s="21" t="n">
        <v>140000</v>
      </c>
      <c r="C54" s="21" t="n">
        <v>82000</v>
      </c>
      <c r="D54" s="21">
        <f>IFERROR(B54*1.2,"")</f>
        <v>168000.0</v>
      </c>
    </row>
    <row r="55">
      <c r="A55" s="12" t="inlineStr">
        <is>
          <t>1 Hunter House, Hunter Road, Guildford, Surrey, GU1 3LQ</t>
        </is>
      </c>
      <c r="B55" s="21" t="n">
        <v>140000</v>
      </c>
      <c r="C55" s="21" t="n">
        <v>337000</v>
      </c>
      <c r="D55" s="21">
        <f>IFERROR(B55*1.2,"")</f>
        <v>168000.0</v>
      </c>
    </row>
    <row r="56">
      <c r="A56" s="12" t="inlineStr">
        <is>
          <t>Land on the North-East side of Looe Gardens, Ilford, Essex, IG6 2BJ</t>
        </is>
      </c>
      <c r="B56" s="21" t="n">
        <v>135000</v>
      </c>
      <c r="C56" s="22" t="inlineStr">
        <is>
          <t>N/A - land</t>
        </is>
      </c>
      <c r="D56" s="21">
        <f>IFERROR(B56*1.2,"")</f>
        <v>162000.0</v>
      </c>
    </row>
    <row r="57">
      <c r="A57" s="12" t="inlineStr">
        <is>
          <t>30 Ancton Way, Bognor Regis, West Sussex, PO22 6JW</t>
        </is>
      </c>
      <c r="B57" s="21" t="n">
        <v>130000</v>
      </c>
      <c r="C57" s="21" t="n">
        <v>186000</v>
      </c>
      <c r="D57" s="21">
        <f>IFERROR(B57*1.2,"")</f>
        <v>156000.0</v>
      </c>
    </row>
    <row r="58">
      <c r="A58" s="12" t="inlineStr">
        <is>
          <t>3 Dane Court, College House, St Albans, Hertfordshire, AL1 5NX</t>
        </is>
      </c>
      <c r="B58" s="21" t="n">
        <v>110000</v>
      </c>
      <c r="C58" s="21" t="n">
        <v>174000</v>
      </c>
      <c r="D58" s="21">
        <f>IFERROR(B58*1.2,"")</f>
        <v>132000.0</v>
      </c>
    </row>
    <row r="59">
      <c r="A59" s="12" t="inlineStr">
        <is>
          <t>37 and 37A Trevenson Street, Camborne, Cornwall, TR14 8JD</t>
        </is>
      </c>
      <c r="B59" s="21" t="n">
        <v>100000</v>
      </c>
      <c r="C59" s="21" t="n">
        <v>122000</v>
      </c>
      <c r="D59" s="21">
        <f>IFERROR(B59*1.2,"")</f>
        <v>120000.0</v>
      </c>
    </row>
    <row r="60">
      <c r="A60" s="12" t="inlineStr">
        <is>
          <t>The Bungalow, 1 Chapel Lane, Maidford, Towcester, Northamptonshire, NN12 8HU</t>
        </is>
      </c>
      <c r="B60" s="21" t="n">
        <v>100000</v>
      </c>
      <c r="C60" s="21" t="n">
        <v>302000</v>
      </c>
      <c r="D60" s="21">
        <f>IFERROR(B60*1.2,"")</f>
        <v>120000.0</v>
      </c>
    </row>
    <row r="61">
      <c r="A61" s="12" t="inlineStr">
        <is>
          <t>27 West Road, Shoeburyness, Southend-on-Sea, Essex, SS3 9DR</t>
        </is>
      </c>
      <c r="B61" s="21" t="n">
        <v>100000</v>
      </c>
      <c r="C61" s="21" t="n">
        <v>218000</v>
      </c>
      <c r="D61" s="21">
        <f>IFERROR(B61*1.2,"")</f>
        <v>120000.0</v>
      </c>
    </row>
    <row r="62">
      <c r="A62" s="12" t="inlineStr">
        <is>
          <t>Unit SU8, 5 Jubilee Way, Scunthorpe, North Lincolnshire, DN15 6RB</t>
        </is>
      </c>
      <c r="B62" s="21" t="n">
        <v>95000</v>
      </c>
      <c r="C62" s="22" t="inlineStr">
        <is>
          <t>N/A - retail</t>
        </is>
      </c>
      <c r="D62" s="21">
        <f>IFERROR(B62*1.2,"")</f>
        <v>114000.0</v>
      </c>
    </row>
    <row r="63">
      <c r="A63" s="12" t="inlineStr">
        <is>
          <t>9 College Walk, Rotherham, South Yorkshire, S60 1QB</t>
        </is>
      </c>
      <c r="B63" s="21" t="n">
        <v>95000</v>
      </c>
      <c r="C63" s="22" t="inlineStr">
        <is>
          <t>N/A - retail</t>
        </is>
      </c>
      <c r="D63" s="21">
        <f>IFERROR(B63*1.2,"")</f>
        <v>114000.0</v>
      </c>
    </row>
    <row r="64">
      <c r="A64" s="12" t="inlineStr">
        <is>
          <t>94A Middleton Grange Shopping Centre, Hartlepool, Cleveland, TS24 7RW</t>
        </is>
      </c>
      <c r="B64" s="21" t="n">
        <v>95000</v>
      </c>
      <c r="C64" s="22" t="inlineStr">
        <is>
          <t>N/A - retail</t>
        </is>
      </c>
      <c r="D64" s="21">
        <f>IFERROR(B64*1.2,"")</f>
        <v>114000.0</v>
      </c>
    </row>
    <row r="65">
      <c r="A65" s="12" t="inlineStr">
        <is>
          <t>2 Garfield Street, Northampton, Northamptonshire, NN2 6NW</t>
        </is>
      </c>
      <c r="B65" s="21" t="n">
        <v>95000</v>
      </c>
      <c r="C65" s="21" t="n">
        <v>250000</v>
      </c>
      <c r="D65" s="21">
        <f>IFERROR(B65*1.2,"")</f>
        <v>114000.0</v>
      </c>
    </row>
    <row r="66">
      <c r="A66" s="12" t="inlineStr">
        <is>
          <t>29A High Street, March, Cambridgeshire, PE15 0XA</t>
        </is>
      </c>
      <c r="B66" s="21" t="n">
        <v>95000</v>
      </c>
      <c r="C66" s="21" t="n">
        <v>178000</v>
      </c>
      <c r="D66" s="21">
        <f>IFERROR(B66*1.2,"")</f>
        <v>114000.0</v>
      </c>
    </row>
    <row r="67">
      <c r="A67" s="12" t="inlineStr">
        <is>
          <t>Flat 2, 201 Waldegrave Road, Teddington, Richmond upon Thames, TW11 8LX</t>
        </is>
      </c>
      <c r="B67" s="21" t="n">
        <v>95000</v>
      </c>
      <c r="C67" s="21" t="n">
        <v>362000</v>
      </c>
      <c r="D67" s="21">
        <f>IFERROR(B67*1.2,"")</f>
        <v>114000.0</v>
      </c>
    </row>
    <row r="68">
      <c r="A68" s="12" t="inlineStr">
        <is>
          <t>Apartment 43, 18 Church Street, Manchester, Lancashire, M4 1PN</t>
        </is>
      </c>
      <c r="B68" s="21" t="n">
        <v>90000</v>
      </c>
      <c r="C68" s="21" t="n">
        <v>193000</v>
      </c>
      <c r="D68" s="21">
        <f>IFERROR(B68*1.2,"")</f>
        <v>108000.0</v>
      </c>
    </row>
    <row r="69">
      <c r="A69" s="12" t="inlineStr">
        <is>
          <t>29 Hervey Street, Lowestoft, Suffolk, NR32 2JG</t>
        </is>
      </c>
      <c r="B69" s="21" t="n">
        <v>75000</v>
      </c>
      <c r="C69" s="21" t="n">
        <v>153000</v>
      </c>
      <c r="D69" s="21">
        <f>IFERROR(B69*1.2,"")</f>
        <v>90000.0</v>
      </c>
    </row>
    <row r="70">
      <c r="A70" s="12" t="inlineStr">
        <is>
          <t>36 Hobart Road, Weston-super-Mare, Avon, BS23 4QN</t>
        </is>
      </c>
      <c r="B70" s="21" t="n">
        <v>70000</v>
      </c>
      <c r="C70" s="21" t="n">
        <v>129000</v>
      </c>
      <c r="D70" s="21">
        <f>IFERROR(B70*1.2,"")</f>
        <v>84000.0</v>
      </c>
    </row>
    <row r="71">
      <c r="A71" s="12" t="inlineStr">
        <is>
          <t>4 Nairn Court, Dock Road, Tilbury, Essex, RM18 7BY</t>
        </is>
      </c>
      <c r="B71" s="21" t="n">
        <v>60000</v>
      </c>
      <c r="C71" s="21" t="n">
        <v>149000</v>
      </c>
      <c r="D71" s="21">
        <f>IFERROR(B71*1.2,"")</f>
        <v>72000.0</v>
      </c>
    </row>
    <row r="72">
      <c r="A72" s="12" t="inlineStr">
        <is>
          <t>9A Battle Hill, Hexham, Northumberland, NE46 1BA</t>
        </is>
      </c>
      <c r="B72" s="21" t="n">
        <v>50000</v>
      </c>
      <c r="C72" s="22" t="inlineStr">
        <is>
          <t>N/A</t>
        </is>
      </c>
      <c r="D72" s="21">
        <f>IFERROR(B72*1.2,"")</f>
        <v>60000.0</v>
      </c>
    </row>
    <row r="73">
      <c r="A73" s="12" t="inlineStr">
        <is>
          <t>106 High Street, Redcar, Cleveland, TS10 3DL</t>
        </is>
      </c>
      <c r="B73" s="21" t="n">
        <v>50000</v>
      </c>
      <c r="C73" s="21" t="n">
        <v>82000</v>
      </c>
      <c r="D73" s="21">
        <f>IFERROR(B73*1.2,"")</f>
        <v>60000.0</v>
      </c>
    </row>
    <row r="74">
      <c r="A74" s="12" t="inlineStr">
        <is>
          <t>The Vaults, Manor Road, Chatham, Kent, ME4 6HW</t>
        </is>
      </c>
      <c r="B74" s="21" t="n">
        <v>50000</v>
      </c>
      <c r="C74" s="21" t="n">
        <v>379000</v>
      </c>
      <c r="D74" s="21">
        <f>IFERROR(B74*1.2,"")</f>
        <v>60000.0</v>
      </c>
    </row>
    <row r="75">
      <c r="A75" s="12" t="inlineStr">
        <is>
          <t>Land to the rear of 21 Greenfield Road, Pulloxhill, Bedford, Bedfordshire, MK45 5EZ</t>
        </is>
      </c>
      <c r="B75" s="21" t="n">
        <v>50000</v>
      </c>
      <c r="C75" s="22" t="inlineStr">
        <is>
          <t>N/A - land</t>
        </is>
      </c>
      <c r="D75" s="21">
        <f>IFERROR(B75*1.2,"")</f>
        <v>60000.0</v>
      </c>
    </row>
    <row r="76">
      <c r="A76" s="12" t="inlineStr">
        <is>
          <t>Flat 3, 55 West Avenue, Filey, North Yorkshire, YO14 9AX</t>
        </is>
      </c>
      <c r="B76" s="21" t="n">
        <v>50000</v>
      </c>
      <c r="C76" s="21" t="n">
        <v>130000</v>
      </c>
      <c r="D76" s="21">
        <f>IFERROR(B76*1.2,"")</f>
        <v>60000.0</v>
      </c>
    </row>
    <row r="77">
      <c r="A77" s="12" t="inlineStr">
        <is>
          <t>65 Reeves Road, Derby, Derbyshire, DE23 8JF</t>
        </is>
      </c>
      <c r="B77" s="21" t="n">
        <v>45000</v>
      </c>
      <c r="C77" s="21" t="n">
        <v>87500</v>
      </c>
      <c r="D77" s="21">
        <f>IFERROR(B77*1.2,"")</f>
        <v>54000.0</v>
      </c>
    </row>
    <row r="78">
      <c r="A78" s="12" t="inlineStr">
        <is>
          <t>4 Milburn Street, Crook, County Durham, DL15 9DY</t>
        </is>
      </c>
      <c r="B78" s="21" t="n">
        <v>40000</v>
      </c>
      <c r="C78" s="21" t="n">
        <v>92500</v>
      </c>
      <c r="D78" s="21">
        <f>IFERROR(B78*1.2,"")</f>
        <v>48000.0</v>
      </c>
    </row>
    <row r="79">
      <c r="A79" s="12" t="inlineStr">
        <is>
          <t>Land to the rear of 141 Parsonage Road, Rainham, Essex, RM13 9LB</t>
        </is>
      </c>
      <c r="B79" s="21" t="n">
        <v>35000</v>
      </c>
      <c r="C79" s="22" t="inlineStr">
        <is>
          <t>N/A - land</t>
        </is>
      </c>
      <c r="D79" s="21">
        <f>IFERROR(B79*1.2,"")</f>
        <v>42000.0</v>
      </c>
    </row>
    <row r="80">
      <c r="A80" s="12" t="inlineStr">
        <is>
          <t>49 Exmouth Road, Great Yarmouth, Norfolk, NR30 3DP</t>
        </is>
      </c>
      <c r="B80" s="21" t="n">
        <v>30000</v>
      </c>
      <c r="C80" s="21" t="n">
        <v>81000</v>
      </c>
      <c r="D80" s="21">
        <f>IFERROR(B80*1.2,"")</f>
        <v>36000.0</v>
      </c>
    </row>
    <row r="81">
      <c r="A81" s="12" t="inlineStr">
        <is>
          <t>34 Murton Lane, Easington Lane, Houghton Le Spring, Tyne and Wear, DH5 0NB</t>
        </is>
      </c>
      <c r="B81" s="21" t="n">
        <v>30000</v>
      </c>
      <c r="C81" s="21" t="n">
        <v>40000</v>
      </c>
      <c r="D81" s="21">
        <f>IFERROR(B81*1.2,"")</f>
        <v>36000.0</v>
      </c>
    </row>
    <row r="82">
      <c r="A82" s="12" t="inlineStr">
        <is>
          <t>Rear of 292 Weelsby Street, Grimsby, North East Lincolnshire, DN32 8AB</t>
        </is>
      </c>
      <c r="B82" s="21" t="n">
        <v>25000</v>
      </c>
      <c r="C82" s="22" t="inlineStr">
        <is>
          <t>N/A - workshop</t>
        </is>
      </c>
      <c r="D82" s="21">
        <f>IFERROR(B82*1.2,"")</f>
        <v>30000.0</v>
      </c>
    </row>
    <row r="83">
      <c r="A83" s="12" t="inlineStr">
        <is>
          <t>108 High Street, Redcar, Cleveland, TS10 3DL</t>
        </is>
      </c>
      <c r="B83" s="21" t="n">
        <v>25000</v>
      </c>
      <c r="C83" s="21" t="n">
        <v>82000</v>
      </c>
      <c r="D83" s="21">
        <f>IFERROR(B83*1.2,"")</f>
        <v>30000.0</v>
      </c>
    </row>
    <row r="84">
      <c r="A84" s="12" t="inlineStr">
        <is>
          <t>4 Highfield Road, Newbold, Derbyshire, S41 7EY</t>
        </is>
      </c>
      <c r="B84" s="21" t="n">
        <v>25000</v>
      </c>
      <c r="C84" s="21" t="n">
        <v>310000</v>
      </c>
      <c r="D84" s="21">
        <f>IFERROR(B84*1.2,"")</f>
        <v>30000.0</v>
      </c>
    </row>
    <row r="85">
      <c r="A85" s="12" t="inlineStr">
        <is>
          <t>Flat 110, 2 Moorfields, Liverpool, Merseyside, L2 2BS</t>
        </is>
      </c>
      <c r="B85" s="21" t="n">
        <v>20000</v>
      </c>
      <c r="C85" s="21" t="n">
        <v>90000</v>
      </c>
      <c r="D85" s="21">
        <f>IFERROR(B85*1.2,"")</f>
        <v>24000.0</v>
      </c>
    </row>
    <row r="86">
      <c r="A86" s="12" t="inlineStr">
        <is>
          <t>Residential Flat, 9A Battle Hill, Hexham, Northumberland, NE46 1BA</t>
        </is>
      </c>
      <c r="B86" s="21" t="n">
        <v>20000</v>
      </c>
      <c r="C86" s="21" t="n">
        <v>64500</v>
      </c>
      <c r="D86" s="21">
        <f>IFERROR(B86*1.2,"")</f>
        <v>24000.0</v>
      </c>
    </row>
    <row r="87">
      <c r="A87" s="12" t="inlineStr">
        <is>
          <t>Flat 29 The Old School Rooms, Great Moor Street, Bolton, Lancashire, BL1 1NR</t>
        </is>
      </c>
      <c r="B87" s="21" t="n">
        <v>20000</v>
      </c>
      <c r="C87" s="21" t="n">
        <v>112000</v>
      </c>
      <c r="D87" s="21">
        <f>IFERROR(B87*1.2,"")</f>
        <v>24000.0</v>
      </c>
    </row>
    <row r="88">
      <c r="A88" s="12" t="inlineStr">
        <is>
          <t>First &amp; Second Floor, 5 Cornmarket, Penrith, Cumbria, CA11 7DA</t>
        </is>
      </c>
      <c r="B88" s="21" t="n">
        <v>20000</v>
      </c>
      <c r="C88" s="21" t="n">
        <v>136000</v>
      </c>
      <c r="D88" s="21">
        <f>IFERROR(B88*1.2,"")</f>
        <v>24000.0</v>
      </c>
    </row>
    <row r="89">
      <c r="A89" s="12" t="inlineStr">
        <is>
          <t>2 Broad Street, St. Columb, Cornwall, TR9 6AS</t>
        </is>
      </c>
      <c r="B89" s="21" t="n">
        <v>15000</v>
      </c>
      <c r="C89" s="21" t="n">
        <v>20500</v>
      </c>
      <c r="D89" s="21">
        <f>IFERROR(B89*1.2,"")</f>
        <v>18000.0</v>
      </c>
    </row>
    <row r="90">
      <c r="A90" s="12" t="inlineStr">
        <is>
          <t>Land at Green Lane, Warlingham, Surrey, CR6 9EE</t>
        </is>
      </c>
      <c r="B90" s="21" t="n">
        <v>15000</v>
      </c>
      <c r="C90" s="22" t="inlineStr">
        <is>
          <t>N/A - land</t>
        </is>
      </c>
      <c r="D90" s="21">
        <f>IFERROR(B90*1.2,"")</f>
        <v>18000.0</v>
      </c>
    </row>
    <row r="91">
      <c r="A91" s="12" t="inlineStr">
        <is>
          <t>Unit 1 Masonic Hall, 64 Briggate, Brighouse, Calderdale, HD6 1EF</t>
        </is>
      </c>
      <c r="B91" s="21" t="n">
        <v>9000</v>
      </c>
      <c r="C91" s="22" t="inlineStr">
        <is>
          <t>N/A - commercial</t>
        </is>
      </c>
      <c r="D91" s="21">
        <f>IFERROR(B91*1.2,"")</f>
        <v>10800.0</v>
      </c>
    </row>
    <row r="92">
      <c r="A92" s="12" t="inlineStr">
        <is>
          <t>Unit 3, 6A Alma Street, Taunton, Somerset, TA1 3AH</t>
        </is>
      </c>
      <c r="B92" s="21" t="n">
        <v>5000</v>
      </c>
      <c r="C92" s="22" t="inlineStr">
        <is>
          <t>N/A - commercial</t>
        </is>
      </c>
      <c r="D92" s="21">
        <f>IFERROR(B92*1.2,"")</f>
        <v>6000.0</v>
      </c>
    </row>
    <row r="93">
      <c r="A93" s="12" t="inlineStr">
        <is>
          <t>18 Farringford Court, 1 Avenue Road, Lymington, Hampshire, SO41 9PA</t>
        </is>
      </c>
      <c r="B93" s="21" t="n">
        <v>5000</v>
      </c>
      <c r="C93" s="21" t="n">
        <v>150000</v>
      </c>
      <c r="D93" s="21">
        <f>IFERROR(B93*1.2,"")</f>
        <v>6000.0</v>
      </c>
    </row>
    <row r="94">
      <c r="A94" s="12" t="inlineStr">
        <is>
          <t>Flat A9-D Leighton Street, Leighton Street, Preston, Lancashire, PR1 8RH</t>
        </is>
      </c>
      <c r="B94" s="21" t="n">
        <v>5000</v>
      </c>
      <c r="C94" s="22" t="inlineStr">
        <is>
          <t>N/A</t>
        </is>
      </c>
      <c r="D94" s="21">
        <f>IFERROR(B94*1.2,"")</f>
        <v>6000.0</v>
      </c>
    </row>
    <row r="95">
      <c r="A95" s="12" t="inlineStr">
        <is>
          <t>Plot 8 Boreham Place, New England, Halstead, Essex, CO9 4BD</t>
        </is>
      </c>
      <c r="B95" s="21" t="n">
        <v>5000</v>
      </c>
      <c r="C95" s="22" t="inlineStr">
        <is>
          <t>N/A - plot</t>
        </is>
      </c>
      <c r="D95" s="21">
        <f>IFERROR(B95*1.2,"")</f>
        <v>6000.0</v>
      </c>
    </row>
    <row r="96">
      <c r="A96" s="12" t="inlineStr">
        <is>
          <t>Plot 4 Station Road, Shirehampton, Bristol, Avon, BS11 9XA</t>
        </is>
      </c>
      <c r="B96" s="21" t="n">
        <v>5000</v>
      </c>
      <c r="C96" s="22" t="inlineStr">
        <is>
          <t>N/A - plot</t>
        </is>
      </c>
      <c r="D96" s="21">
        <f>IFERROR(B96*1.2,"")</f>
        <v>6000.0</v>
      </c>
    </row>
    <row r="97">
      <c r="A97" s="12" t="inlineStr">
        <is>
          <t>Garage and Land to the Rear of 16 Stanley Park Drive, Wembley, Middlesex, HA0 1SG</t>
        </is>
      </c>
      <c r="B97" s="21" t="n">
        <v>5000</v>
      </c>
      <c r="C97" s="22" t="inlineStr">
        <is>
          <t>N/A - garage</t>
        </is>
      </c>
      <c r="D97" s="21">
        <f>IFERROR(B97*1.2,"")</f>
        <v>6000.0</v>
      </c>
    </row>
    <row r="98">
      <c r="A98" s="12" t="inlineStr">
        <is>
          <t>Garage at Seddon Court, Hepplewhite Close, Crawley, West Sussex, RH11 9LF</t>
        </is>
      </c>
      <c r="B98" s="21" t="n">
        <v>5000</v>
      </c>
      <c r="C98" s="22" t="inlineStr">
        <is>
          <t>N/A - garage</t>
        </is>
      </c>
      <c r="D98" s="21">
        <f>IFERROR(B98*1.2,"")</f>
        <v>6000.0</v>
      </c>
    </row>
    <row r="99">
      <c r="A99" s="12" t="inlineStr">
        <is>
          <t>Plot 2 Abbey Street, Ickleton, Saffron Walden, Essex, CB10 1SS</t>
        </is>
      </c>
      <c r="B99" s="21" t="n">
        <v>3000</v>
      </c>
      <c r="C99" s="22" t="inlineStr">
        <is>
          <t>N/A - plot</t>
        </is>
      </c>
      <c r="D99" s="21">
        <f>IFERROR(B99*1.2,"")</f>
        <v>3600.0</v>
      </c>
    </row>
    <row r="100">
      <c r="A100" s="12" t="inlineStr">
        <is>
          <t>Compound 1, Par Moor Road, Par, Cornwall, PL24 2SQ</t>
        </is>
      </c>
      <c r="B100" s="21" t="n">
        <v>3000</v>
      </c>
      <c r="C100" s="22" t="inlineStr">
        <is>
          <t>N/A - compound</t>
        </is>
      </c>
      <c r="D100" s="21">
        <f>IFERROR(B100*1.2,"")</f>
        <v>3600.0</v>
      </c>
    </row>
    <row r="101">
      <c r="A101" s="12" t="inlineStr">
        <is>
          <t>Flat 201 Lemare Lodge, Fair Acres, Bromley, Kent, BR2 9BS</t>
        </is>
      </c>
      <c r="B101" s="22" t="n"/>
      <c r="C101" s="21" t="n">
        <v>226000</v>
      </c>
      <c r="D101" s="21">
        <f>IFERROR(B101*1.2,"")</f>
        <v/>
      </c>
    </row>
  </sheetData>
  <autoFilter ref="A1:D1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01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52" customWidth="1" min="2" max="2"/>
    <col width="15" customWidth="1" min="3" max="3"/>
    <col width="16" customWidth="1" min="4" max="4"/>
    <col width="7" customWidth="1" min="5" max="5"/>
    <col width="20" customWidth="1" min="6" max="6"/>
    <col width="16" customWidth="1" min="7" max="7"/>
    <col width="14" customWidth="1" min="8" max="8"/>
    <col width="10" customWidth="1" min="9" max="9"/>
    <col width="16" customWidth="1" min="10" max="10"/>
    <col width="12" customWidth="1" min="11" max="11"/>
    <col width="22" customWidth="1" min="12" max="12"/>
    <col width="22" customWidth="1" min="13" max="13"/>
    <col width="24" customWidth="1" min="14" max="14"/>
    <col width="40" customWidth="1" min="15" max="15"/>
  </cols>
  <sheetData>
    <row r="1">
      <c r="A1" s="1" t="inlineStr">
        <is>
          <t>Sep lot</t>
        </is>
      </c>
      <c r="B1" s="1" t="inlineStr">
        <is>
          <t>Address</t>
        </is>
      </c>
      <c r="C1" s="1" t="inlineStr">
        <is>
          <t>Sep guide</t>
        </is>
      </c>
      <c r="D1" s="1" t="inlineStr">
        <is>
          <t>Sep guide low (£)</t>
        </is>
      </c>
      <c r="E1" s="1" t="inlineStr">
        <is>
          <t>Oct lot</t>
        </is>
      </c>
      <c r="F1" s="1" t="inlineStr">
        <is>
          <t>Oct guide</t>
        </is>
      </c>
      <c r="G1" s="1" t="inlineStr">
        <is>
          <t>Oct guide low (£)</t>
        </is>
      </c>
      <c r="H1" s="2" t="inlineStr">
        <is>
          <t>Guide +20%</t>
        </is>
      </c>
      <c r="I1" s="1" t="inlineStr">
        <is>
          <t>Guide move</t>
        </is>
      </c>
      <c r="J1" s="1" t="inlineStr">
        <is>
          <t>Our accepted offer (£)</t>
        </is>
      </c>
      <c r="K1" s="1" t="inlineStr">
        <is>
          <t>Offer vs Oct guide</t>
        </is>
      </c>
      <c r="L1" s="1" t="inlineStr">
        <is>
          <t>Hometrack AVM</t>
        </is>
      </c>
      <c r="M1" s="1" t="inlineStr">
        <is>
          <t>Serco status</t>
        </is>
      </c>
      <c r="N1" s="1" t="inlineStr">
        <is>
          <t>Status</t>
        </is>
      </c>
      <c r="O1" s="1" t="inlineStr">
        <is>
          <t>Match verification</t>
        </is>
      </c>
    </row>
    <row r="2">
      <c r="A2" s="3" t="inlineStr">
        <is>
          <t>92</t>
        </is>
      </c>
      <c r="B2" s="4" t="inlineStr">
        <is>
          <t>10 Eider Close, Hayes, Middlesex, UB4 9TD</t>
        </is>
      </c>
      <c r="C2" s="3" t="inlineStr">
        <is>
          <t>£415000+</t>
        </is>
      </c>
      <c r="D2" s="5" t="n">
        <v>415000</v>
      </c>
      <c r="E2" s="3" t="inlineStr">
        <is>
          <t>33</t>
        </is>
      </c>
      <c r="F2" s="3" t="inlineStr">
        <is>
          <t>£395,000+</t>
        </is>
      </c>
      <c r="G2" s="5" t="n">
        <v>395000</v>
      </c>
      <c r="H2" s="5">
        <f>IFERROR(IF(G2&lt;&gt;"",G2,D2)*1.2,"")</f>
        <v>474000.0</v>
      </c>
      <c r="I2" s="6">
        <f>IFERROR((G2-D2)/D2,"")</f>
        <v>-0.0481927711</v>
      </c>
      <c r="J2" s="5" t="n"/>
      <c r="K2" s="6">
        <f>IFERROR(J2/G2,"")</f>
        <v/>
      </c>
      <c r="L2" s="3" t="inlineStr">
        <is>
          <t>£458000</t>
        </is>
      </c>
      <c r="M2" s="3" t="inlineStr">
        <is>
          <t>Outside region</t>
        </is>
      </c>
      <c r="N2" s="3" t="inlineStr">
        <is>
          <t>In October catalogue</t>
        </is>
      </c>
      <c r="O2" s="3" t="inlineStr">
        <is>
          <t>postcode + number</t>
        </is>
      </c>
    </row>
    <row r="3">
      <c r="A3" s="3" t="inlineStr">
        <is>
          <t>153</t>
        </is>
      </c>
      <c r="B3" s="4" t="inlineStr">
        <is>
          <t>2102 Kew Eye Apartments, Ealing Road, Brentford, Middlesex, TW8 0GA</t>
        </is>
      </c>
      <c r="C3" s="3" t="inlineStr">
        <is>
          <t>£410000+</t>
        </is>
      </c>
      <c r="D3" s="5" t="n">
        <v>410000</v>
      </c>
      <c r="E3" s="3" t="inlineStr">
        <is>
          <t>31</t>
        </is>
      </c>
      <c r="F3" s="3" t="inlineStr">
        <is>
          <t>£410,000+</t>
        </is>
      </c>
      <c r="G3" s="5" t="n">
        <v>410000</v>
      </c>
      <c r="H3" s="5">
        <f>IFERROR(IF(G3&lt;&gt;"",G3,D3)*1.2,"")</f>
        <v>492000.0</v>
      </c>
      <c r="I3" s="6">
        <f>IFERROR((G3-D3)/D3,"")</f>
        <v>0.0</v>
      </c>
      <c r="J3" s="5" t="n"/>
      <c r="K3" s="6">
        <f>IFERROR(J3/G3,"")</f>
        <v/>
      </c>
      <c r="L3" s="3" t="inlineStr">
        <is>
          <t>£499000</t>
        </is>
      </c>
      <c r="M3" s="3" t="inlineStr">
        <is>
          <t>Outside region</t>
        </is>
      </c>
      <c r="N3" s="3" t="inlineStr">
        <is>
          <t>In October catalogue</t>
        </is>
      </c>
      <c r="O3" s="3" t="inlineStr">
        <is>
          <t>postcode + number</t>
        </is>
      </c>
    </row>
    <row r="4">
      <c r="A4" s="3" t="inlineStr">
        <is>
          <t>79</t>
        </is>
      </c>
      <c r="B4" s="4" t="inlineStr">
        <is>
          <t>Sandly Court, 39 Queens Road, Southport, Merseyside, PR9 9EX</t>
        </is>
      </c>
      <c r="C4" s="3" t="inlineStr">
        <is>
          <t>£320000+</t>
        </is>
      </c>
      <c r="D4" s="5" t="n">
        <v>320000</v>
      </c>
      <c r="E4" s="3" t="inlineStr">
        <is>
          <t>70</t>
        </is>
      </c>
      <c r="F4" s="3" t="inlineStr">
        <is>
          <t>£320,000+</t>
        </is>
      </c>
      <c r="G4" s="5" t="n">
        <v>320000</v>
      </c>
      <c r="H4" s="5">
        <f>IFERROR(IF(G4&lt;&gt;"",G4,D4)*1.2,"")</f>
        <v>384000.0</v>
      </c>
      <c r="I4" s="6">
        <f>IFERROR((G4-D4)/D4,"")</f>
        <v>0.0</v>
      </c>
      <c r="J4" s="5" t="n"/>
      <c r="K4" s="6">
        <f>IFERROR(J4/G4,"")</f>
        <v/>
      </c>
      <c r="L4" s="3" t="inlineStr">
        <is>
          <t>N/A</t>
        </is>
      </c>
      <c r="M4" s="3" t="inlineStr">
        <is>
          <t>CLOSED + NW paused</t>
        </is>
      </c>
      <c r="N4" s="3" t="inlineStr">
        <is>
          <t>In October catalogue</t>
        </is>
      </c>
      <c r="O4" s="3" t="inlineStr">
        <is>
          <t>postcode + number</t>
        </is>
      </c>
    </row>
    <row r="5">
      <c r="A5" s="3" t="inlineStr">
        <is>
          <t>95</t>
        </is>
      </c>
      <c r="B5" s="4" t="inlineStr">
        <is>
          <t>Flat 3 Regatta Point, 1 Manilla Street, Canary Wharf, London, E14 8JZ</t>
        </is>
      </c>
      <c r="C5" s="3" t="inlineStr">
        <is>
          <t>£275000+</t>
        </is>
      </c>
      <c r="D5" s="5" t="n">
        <v>275000</v>
      </c>
      <c r="E5" s="3" t="inlineStr">
        <is>
          <t>21</t>
        </is>
      </c>
      <c r="F5" s="3" t="inlineStr">
        <is>
          <t>£225,000+</t>
        </is>
      </c>
      <c r="G5" s="5" t="n">
        <v>225000</v>
      </c>
      <c r="H5" s="5">
        <f>IFERROR(IF(G5&lt;&gt;"",G5,D5)*1.2,"")</f>
        <v>270000.0</v>
      </c>
      <c r="I5" s="6">
        <f>IFERROR((G5-D5)/D5,"")</f>
        <v>-0.1818181818</v>
      </c>
      <c r="J5" s="5" t="n"/>
      <c r="K5" s="6">
        <f>IFERROR(J5/G5,"")</f>
        <v/>
      </c>
      <c r="L5" s="3" t="inlineStr">
        <is>
          <t>£370000</t>
        </is>
      </c>
      <c r="M5" s="3" t="inlineStr">
        <is>
          <t>Outside region</t>
        </is>
      </c>
      <c r="N5" s="3" t="inlineStr">
        <is>
          <t>In October catalogue</t>
        </is>
      </c>
      <c r="O5" s="3" t="inlineStr">
        <is>
          <t>postcode + number</t>
        </is>
      </c>
    </row>
    <row r="6">
      <c r="A6" s="3" t="inlineStr">
        <is>
          <t>94</t>
        </is>
      </c>
      <c r="B6" s="4" t="inlineStr">
        <is>
          <t>Flat 11 Regatta Point, 1 Manilla Street, Canary Wharf, London, E14 8JZ</t>
        </is>
      </c>
      <c r="C6" s="3" t="inlineStr">
        <is>
          <t>£225000+</t>
        </is>
      </c>
      <c r="D6" s="5" t="n">
        <v>225000</v>
      </c>
      <c r="E6" s="3" t="inlineStr">
        <is>
          <t>20</t>
        </is>
      </c>
      <c r="F6" s="3" t="inlineStr">
        <is>
          <t>£180,000+</t>
        </is>
      </c>
      <c r="G6" s="5" t="n">
        <v>180000</v>
      </c>
      <c r="H6" s="5">
        <f>IFERROR(IF(G6&lt;&gt;"",G6,D6)*1.2,"")</f>
        <v>216000.0</v>
      </c>
      <c r="I6" s="6">
        <f>IFERROR((G6-D6)/D6,"")</f>
        <v>-0.2</v>
      </c>
      <c r="J6" s="5" t="n"/>
      <c r="K6" s="6">
        <f>IFERROR(J6/G6,"")</f>
        <v/>
      </c>
      <c r="L6" s="3" t="inlineStr">
        <is>
          <t>£303000</t>
        </is>
      </c>
      <c r="M6" s="3" t="inlineStr">
        <is>
          <t>Outside region</t>
        </is>
      </c>
      <c r="N6" s="3" t="inlineStr">
        <is>
          <t>In October catalogue</t>
        </is>
      </c>
      <c r="O6" s="3" t="inlineStr">
        <is>
          <t>postcode + number</t>
        </is>
      </c>
    </row>
    <row r="7">
      <c r="A7" s="3" t="inlineStr">
        <is>
          <t>42</t>
        </is>
      </c>
      <c r="B7" s="4" t="inlineStr">
        <is>
          <t>9 Victoria Road, Margate, Kent, CT9 1LN</t>
        </is>
      </c>
      <c r="C7" s="3" t="inlineStr">
        <is>
          <t>£110000+</t>
        </is>
      </c>
      <c r="D7" s="5" t="n">
        <v>110000</v>
      </c>
      <c r="E7" s="3" t="inlineStr">
        <is>
          <t>45</t>
        </is>
      </c>
      <c r="F7" s="3" t="inlineStr">
        <is>
          <t>£90,000+</t>
        </is>
      </c>
      <c r="G7" s="5" t="n">
        <v>90000</v>
      </c>
      <c r="H7" s="5">
        <f>IFERROR(IF(G7&lt;&gt;"",G7,D7)*1.2,"")</f>
        <v>108000.0</v>
      </c>
      <c r="I7" s="6">
        <f>IFERROR((G7-D7)/D7,"")</f>
        <v>-0.1818181818</v>
      </c>
      <c r="J7" s="5" t="n"/>
      <c r="K7" s="6">
        <f>IFERROR(J7/G7,"")</f>
        <v/>
      </c>
      <c r="L7" s="3" t="inlineStr">
        <is>
          <t>£238000</t>
        </is>
      </c>
      <c r="M7" s="3" t="inlineStr">
        <is>
          <t>Outside region</t>
        </is>
      </c>
      <c r="N7" s="3" t="inlineStr">
        <is>
          <t>In October catalogue</t>
        </is>
      </c>
      <c r="O7" s="3" t="inlineStr">
        <is>
          <t>postcode + number</t>
        </is>
      </c>
    </row>
    <row r="8">
      <c r="A8" s="3" t="inlineStr">
        <is>
          <t>38</t>
        </is>
      </c>
      <c r="B8" s="4" t="inlineStr">
        <is>
          <t>Flat 4, 280 Wimborne Road, Bournemouth, Dorset, BH3 7AT</t>
        </is>
      </c>
      <c r="C8" s="3" t="inlineStr">
        <is>
          <t>£65000+</t>
        </is>
      </c>
      <c r="D8" s="5" t="n">
        <v>65000</v>
      </c>
      <c r="E8" s="3" t="inlineStr">
        <is>
          <t>48</t>
        </is>
      </c>
      <c r="F8" s="3" t="inlineStr">
        <is>
          <t>£45,000-£65,000</t>
        </is>
      </c>
      <c r="G8" s="5" t="n">
        <v>45000</v>
      </c>
      <c r="H8" s="5">
        <f>IFERROR(IF(G8&lt;&gt;"",G8,D8)*1.2,"")</f>
        <v>54000.0</v>
      </c>
      <c r="I8" s="6">
        <f>IFERROR((G8-D8)/D8,"")</f>
        <v>-0.3076923077</v>
      </c>
      <c r="J8" s="5" t="n"/>
      <c r="K8" s="6">
        <f>IFERROR(J8/G8,"")</f>
        <v/>
      </c>
      <c r="L8" s="3" t="inlineStr">
        <is>
          <t>N/A</t>
        </is>
      </c>
      <c r="M8" s="3" t="inlineStr">
        <is>
          <t>Outside region</t>
        </is>
      </c>
      <c r="N8" s="3" t="inlineStr">
        <is>
          <t>In October catalogue</t>
        </is>
      </c>
      <c r="O8" s="3" t="inlineStr">
        <is>
          <t>postcode + number</t>
        </is>
      </c>
    </row>
    <row r="9">
      <c r="A9" s="3" t="inlineStr">
        <is>
          <t>112</t>
        </is>
      </c>
      <c r="B9" s="4" t="inlineStr">
        <is>
          <t>Flat 105, 2 Moorfields, Liverpool, Merseyside, L2 2BS</t>
        </is>
      </c>
      <c r="C9" s="3" t="inlineStr">
        <is>
          <t>£20000-£40000</t>
        </is>
      </c>
      <c r="D9" s="5" t="n">
        <v>20000</v>
      </c>
      <c r="E9" s="3" t="inlineStr">
        <is>
          <t>74</t>
        </is>
      </c>
      <c r="F9" s="3" t="inlineStr">
        <is>
          <t>£20,000-£40,000</t>
        </is>
      </c>
      <c r="G9" s="5" t="n">
        <v>20000</v>
      </c>
      <c r="H9" s="5">
        <f>IFERROR(IF(G9&lt;&gt;"",G9,D9)*1.2,"")</f>
        <v>24000.0</v>
      </c>
      <c r="I9" s="6">
        <f>IFERROR((G9-D9)/D9,"")</f>
        <v>0.0</v>
      </c>
      <c r="J9" s="5" t="n">
        <v>40000</v>
      </c>
      <c r="K9" s="6">
        <f>IFERROR(J9/G9,"")</f>
        <v>2.0</v>
      </c>
      <c r="L9" s="3" t="inlineStr">
        <is>
          <t>£90000</t>
        </is>
      </c>
      <c r="M9" s="3" t="inlineStr">
        <is>
          <t>CLOSED + NW paused</t>
        </is>
      </c>
      <c r="N9" s="3" t="inlineStr">
        <is>
          <t>In October catalogue</t>
        </is>
      </c>
      <c r="O9" s="3" t="inlineStr">
        <is>
          <t>postcode + number</t>
        </is>
      </c>
    </row>
    <row r="10">
      <c r="A10" s="3" t="inlineStr">
        <is>
          <t>166</t>
        </is>
      </c>
      <c r="B10" s="4" t="inlineStr">
        <is>
          <t>Apartment 006 New Bank House, 100 Queen Street, Sheffield, South Yorkshire, S1 2FA</t>
        </is>
      </c>
      <c r="C10" s="3" t="inlineStr">
        <is>
          <t>£15000-£35000</t>
        </is>
      </c>
      <c r="D10" s="5" t="n">
        <v>15000</v>
      </c>
      <c r="E10" s="3" t="inlineStr">
        <is>
          <t>52</t>
        </is>
      </c>
      <c r="F10" s="3" t="inlineStr">
        <is>
          <t>£5,000-£15,000</t>
        </is>
      </c>
      <c r="G10" s="5" t="n">
        <v>5000</v>
      </c>
      <c r="H10" s="5">
        <f>IFERROR(IF(G10&lt;&gt;"",G10,D10)*1.2,"")</f>
        <v>6000.0</v>
      </c>
      <c r="I10" s="6">
        <f>IFERROR((G10-D10)/D10,"")</f>
        <v>-0.6666666667</v>
      </c>
      <c r="J10" s="5" t="n">
        <v>35000</v>
      </c>
      <c r="K10" s="6">
        <f>IFERROR(J10/G10,"")</f>
        <v>7.0</v>
      </c>
      <c r="L10" s="3" t="inlineStr">
        <is>
          <t>£58000</t>
        </is>
      </c>
      <c r="M10" s="3" t="inlineStr">
        <is>
          <t>Outside region</t>
        </is>
      </c>
      <c r="N10" s="3" t="inlineStr">
        <is>
          <t>In October catalogue</t>
        </is>
      </c>
      <c r="O10" s="3" t="inlineStr">
        <is>
          <t>postcode + number</t>
        </is>
      </c>
    </row>
    <row r="11">
      <c r="A11" s="3" t="inlineStr">
        <is>
          <t>160</t>
        </is>
      </c>
      <c r="B11" s="4" t="inlineStr">
        <is>
          <t>Parking Space 31 Lollard Street, Lambeth, London, SE11 6PX</t>
        </is>
      </c>
      <c r="C11" s="3" t="inlineStr">
        <is>
          <t>£10000+</t>
        </is>
      </c>
      <c r="D11" s="5" t="n">
        <v>10000</v>
      </c>
      <c r="E11" s="3" t="inlineStr">
        <is>
          <t>75</t>
        </is>
      </c>
      <c r="F11" s="3" t="inlineStr">
        <is>
          <t>£5,000-£10,000</t>
        </is>
      </c>
      <c r="G11" s="5" t="n">
        <v>5000</v>
      </c>
      <c r="H11" s="5">
        <f>IFERROR(IF(G11&lt;&gt;"",G11,D11)*1.2,"")</f>
        <v>6000.0</v>
      </c>
      <c r="I11" s="6">
        <f>IFERROR((G11-D11)/D11,"")</f>
        <v>-0.5</v>
      </c>
      <c r="J11" s="5" t="n"/>
      <c r="K11" s="6">
        <f>IFERROR(J11/G11,"")</f>
        <v/>
      </c>
      <c r="L11" s="3" t="inlineStr">
        <is>
          <t>N/A - parking</t>
        </is>
      </c>
      <c r="M11" s="3" t="inlineStr">
        <is>
          <t>Outside region</t>
        </is>
      </c>
      <c r="N11" s="3" t="inlineStr">
        <is>
          <t>In October catalogue</t>
        </is>
      </c>
      <c r="O11" s="3" t="inlineStr">
        <is>
          <t>postcode + number</t>
        </is>
      </c>
    </row>
    <row r="12">
      <c r="A12" s="3" t="inlineStr">
        <is>
          <t>175</t>
        </is>
      </c>
      <c r="B12" s="4" t="inlineStr">
        <is>
          <t>Parking Space at 99 Mile End Road, Tower Hamlets, London, E1 4UH</t>
        </is>
      </c>
      <c r="C12" s="3" t="inlineStr">
        <is>
          <t>£5000-£15000</t>
        </is>
      </c>
      <c r="D12" s="5" t="n">
        <v>5000</v>
      </c>
      <c r="E12" s="3" t="inlineStr">
        <is>
          <t>68</t>
        </is>
      </c>
      <c r="F12" s="3" t="inlineStr">
        <is>
          <t>£5,000-£15,000</t>
        </is>
      </c>
      <c r="G12" s="5" t="n">
        <v>5000</v>
      </c>
      <c r="H12" s="5">
        <f>IFERROR(IF(G12&lt;&gt;"",G12,D12)*1.2,"")</f>
        <v>6000.0</v>
      </c>
      <c r="I12" s="6">
        <f>IFERROR((G12-D12)/D12,"")</f>
        <v>0.0</v>
      </c>
      <c r="J12" s="5" t="n"/>
      <c r="K12" s="6">
        <f>IFERROR(J12/G12,"")</f>
        <v/>
      </c>
      <c r="L12" s="3" t="inlineStr">
        <is>
          <t>N/A - parking</t>
        </is>
      </c>
      <c r="M12" s="3" t="inlineStr">
        <is>
          <t>Outside region</t>
        </is>
      </c>
      <c r="N12" s="3" t="inlineStr">
        <is>
          <t>In October catalogue</t>
        </is>
      </c>
      <c r="O12" s="3" t="inlineStr">
        <is>
          <t>address exact match (verified)</t>
        </is>
      </c>
    </row>
    <row r="13">
      <c r="A13" s="7" t="inlineStr">
        <is>
          <t>127</t>
        </is>
      </c>
      <c r="B13" s="8" t="inlineStr">
        <is>
          <t>Garage at 1 The Chestnuts, Gwydor Road, Beckenham, Kent, BR3 4DU</t>
        </is>
      </c>
      <c r="C13" s="7" t="inlineStr">
        <is>
          <t>£10000+</t>
        </is>
      </c>
      <c r="D13" s="9" t="n">
        <v>10000</v>
      </c>
      <c r="E13" s="7" t="inlineStr">
        <is>
          <t>77</t>
        </is>
      </c>
      <c r="F13" s="7" t="inlineStr">
        <is>
          <t>Sold prior for £8,000</t>
        </is>
      </c>
      <c r="G13" s="9" t="n">
        <v>8000</v>
      </c>
      <c r="H13" s="9">
        <f>IFERROR(IF(G13&lt;&gt;"",G13,D13)*1.2,"")</f>
        <v>9600.0</v>
      </c>
      <c r="I13" s="10">
        <f>IFERROR((G13-D13)/D13,"")</f>
        <v>-0.2</v>
      </c>
      <c r="J13" s="9" t="n"/>
      <c r="K13" s="10">
        <f>IFERROR(J13/G13,"")</f>
        <v/>
      </c>
      <c r="L13" s="7" t="inlineStr">
        <is>
          <t>N/A - garage</t>
        </is>
      </c>
      <c r="M13" s="7" t="inlineStr">
        <is>
          <t>Outside region</t>
        </is>
      </c>
      <c r="N13" s="7" t="inlineStr">
        <is>
          <t>Sold prior to auction</t>
        </is>
      </c>
      <c r="O13" s="7" t="inlineStr">
        <is>
          <t>address exact match (verified)</t>
        </is>
      </c>
    </row>
    <row r="14">
      <c r="A14" s="7" t="inlineStr">
        <is>
          <t>182</t>
        </is>
      </c>
      <c r="B14" s="8" t="inlineStr">
        <is>
          <t>Land to the Rear of 103 Church Street, Broadstairs, Kent, CT10 2TX</t>
        </is>
      </c>
      <c r="C14" s="7" t="inlineStr">
        <is>
          <t>£10000+</t>
        </is>
      </c>
      <c r="D14" s="9" t="n">
        <v>10000</v>
      </c>
      <c r="E14" s="7" t="inlineStr">
        <is>
          <t>87</t>
        </is>
      </c>
      <c r="F14" s="7" t="inlineStr">
        <is>
          <t>Sold prior to auction, for an undisclosed amount</t>
        </is>
      </c>
      <c r="G14" s="9" t="n"/>
      <c r="H14" s="9">
        <f>IFERROR(IF(G14&lt;&gt;"",G14,D14)*1.2,"")</f>
        <v>12000.0</v>
      </c>
      <c r="I14" s="10">
        <f>IFERROR((G14-D14)/D14,"")</f>
        <v/>
      </c>
      <c r="J14" s="9" t="n"/>
      <c r="K14" s="10">
        <f>IFERROR(J14/G14,"")</f>
        <v/>
      </c>
      <c r="L14" s="7" t="inlineStr">
        <is>
          <t>N/A - land</t>
        </is>
      </c>
      <c r="M14" s="7" t="inlineStr">
        <is>
          <t>Outside region</t>
        </is>
      </c>
      <c r="N14" s="7" t="inlineStr">
        <is>
          <t>Sold prior to auction</t>
        </is>
      </c>
      <c r="O14" s="7" t="inlineStr">
        <is>
          <t>address exact match (verified)</t>
        </is>
      </c>
    </row>
    <row r="15">
      <c r="A15" s="11" t="inlineStr">
        <is>
          <t>27</t>
        </is>
      </c>
      <c r="B15" s="12" t="inlineStr">
        <is>
          <t>Land Adjacent to The Gables, Banters Lane, Great Leighs, Chelmsford, Essex, CM3 1NT</t>
        </is>
      </c>
      <c r="C15" s="11" t="inlineStr">
        <is>
          <t>£1150000+</t>
        </is>
      </c>
      <c r="D15" s="13" t="n">
        <v>1150000</v>
      </c>
      <c r="E15" s="11" t="n"/>
      <c r="F15" s="11" t="n"/>
      <c r="G15" s="13" t="n"/>
      <c r="H15" s="13">
        <f>IFERROR(IF(G15&lt;&gt;"",G15,D15)*1.2,"")</f>
        <v>1380000.0</v>
      </c>
      <c r="I15" s="14">
        <f>IFERROR((G15-D15)/D15,"")</f>
        <v/>
      </c>
      <c r="J15" s="13" t="n"/>
      <c r="K15" s="14">
        <f>IFERROR(J15/G15,"")</f>
        <v/>
      </c>
      <c r="L15" s="11" t="inlineStr">
        <is>
          <t>N/A - land</t>
        </is>
      </c>
      <c r="M15" s="11" t="inlineStr">
        <is>
          <t>Serco region - VERIFY</t>
        </is>
      </c>
      <c r="N15" s="11" t="inlineStr">
        <is>
          <t>Not in October catalogue</t>
        </is>
      </c>
      <c r="O15" s="11" t="inlineStr">
        <is>
          <t>postcode not in catalogue</t>
        </is>
      </c>
    </row>
    <row r="16">
      <c r="A16" s="11" t="inlineStr">
        <is>
          <t>84</t>
        </is>
      </c>
      <c r="B16" s="12" t="inlineStr">
        <is>
          <t>52 Bushey Grove Road, Bushey, Hertfordshire, WD23 2JJ</t>
        </is>
      </c>
      <c r="C16" s="11" t="inlineStr">
        <is>
          <t>£875000+</t>
        </is>
      </c>
      <c r="D16" s="13" t="n">
        <v>875000</v>
      </c>
      <c r="E16" s="11" t="n"/>
      <c r="F16" s="11" t="n"/>
      <c r="G16" s="13" t="n"/>
      <c r="H16" s="13">
        <f>IFERROR(IF(G16&lt;&gt;"",G16,D16)*1.2,"")</f>
        <v>1050000.0</v>
      </c>
      <c r="I16" s="14">
        <f>IFERROR((G16-D16)/D16,"")</f>
        <v/>
      </c>
      <c r="J16" s="13" t="n"/>
      <c r="K16" s="14">
        <f>IFERROR(J16/G16,"")</f>
        <v/>
      </c>
      <c r="L16" s="11" t="inlineStr">
        <is>
          <t>£875000</t>
        </is>
      </c>
      <c r="M16" s="11" t="inlineStr">
        <is>
          <t>Not on Serco list</t>
        </is>
      </c>
      <c r="N16" s="11" t="inlineStr">
        <is>
          <t>Not in October catalogue</t>
        </is>
      </c>
      <c r="O16" s="11" t="inlineStr">
        <is>
          <t>postcode not in catalogue</t>
        </is>
      </c>
    </row>
    <row r="17">
      <c r="A17" s="11" t="inlineStr">
        <is>
          <t>97</t>
        </is>
      </c>
      <c r="B17" s="12" t="inlineStr">
        <is>
          <t>104 Graveney Road, Tooting, London, SW17 0EH</t>
        </is>
      </c>
      <c r="C17" s="11" t="inlineStr">
        <is>
          <t>£775000+</t>
        </is>
      </c>
      <c r="D17" s="13" t="n">
        <v>775000</v>
      </c>
      <c r="E17" s="11" t="n"/>
      <c r="F17" s="11" t="n"/>
      <c r="G17" s="13" t="n"/>
      <c r="H17" s="13">
        <f>IFERROR(IF(G17&lt;&gt;"",G17,D17)*1.2,"")</f>
        <v>930000.0</v>
      </c>
      <c r="I17" s="14">
        <f>IFERROR((G17-D17)/D17,"")</f>
        <v/>
      </c>
      <c r="J17" s="13" t="n"/>
      <c r="K17" s="14">
        <f>IFERROR(J17/G17,"")</f>
        <v/>
      </c>
      <c r="L17" s="11" t="inlineStr">
        <is>
          <t>£900000</t>
        </is>
      </c>
      <c r="M17" s="11" t="inlineStr">
        <is>
          <t>Outside region</t>
        </is>
      </c>
      <c r="N17" s="11" t="inlineStr">
        <is>
          <t>Not in October catalogue</t>
        </is>
      </c>
      <c r="O17" s="11" t="inlineStr">
        <is>
          <t>postcode not in catalogue</t>
        </is>
      </c>
    </row>
    <row r="18">
      <c r="A18" s="11" t="inlineStr">
        <is>
          <t>99</t>
        </is>
      </c>
      <c r="B18" s="12" t="inlineStr">
        <is>
          <t>23 Selkirk Road, Tooting, London, SW17 0ER</t>
        </is>
      </c>
      <c r="C18" s="11" t="inlineStr">
        <is>
          <t>£775000+</t>
        </is>
      </c>
      <c r="D18" s="13" t="n">
        <v>775000</v>
      </c>
      <c r="E18" s="11" t="n"/>
      <c r="F18" s="11" t="n"/>
      <c r="G18" s="13" t="n"/>
      <c r="H18" s="13">
        <f>IFERROR(IF(G18&lt;&gt;"",G18,D18)*1.2,"")</f>
        <v>930000.0</v>
      </c>
      <c r="I18" s="14">
        <f>IFERROR((G18-D18)/D18,"")</f>
        <v/>
      </c>
      <c r="J18" s="13" t="n"/>
      <c r="K18" s="14">
        <f>IFERROR(J18/G18,"")</f>
        <v/>
      </c>
      <c r="L18" s="11" t="inlineStr">
        <is>
          <t>£965000</t>
        </is>
      </c>
      <c r="M18" s="11" t="inlineStr">
        <is>
          <t>Outside region</t>
        </is>
      </c>
      <c r="N18" s="11" t="inlineStr">
        <is>
          <t>Not in October catalogue</t>
        </is>
      </c>
      <c r="O18" s="11" t="inlineStr">
        <is>
          <t>postcode not in catalogue</t>
        </is>
      </c>
    </row>
    <row r="19">
      <c r="A19" s="11" t="inlineStr">
        <is>
          <t>21A</t>
        </is>
      </c>
      <c r="B19" s="12" t="inlineStr">
        <is>
          <t>63 Warner Road, Camberwell, London, SE5 9NE</t>
        </is>
      </c>
      <c r="C19" s="11" t="inlineStr">
        <is>
          <t>£725000+</t>
        </is>
      </c>
      <c r="D19" s="13" t="n">
        <v>725000</v>
      </c>
      <c r="E19" s="11" t="n"/>
      <c r="F19" s="11" t="n"/>
      <c r="G19" s="13" t="n"/>
      <c r="H19" s="13">
        <f>IFERROR(IF(G19&lt;&gt;"",G19,D19)*1.2,"")</f>
        <v>870000.0</v>
      </c>
      <c r="I19" s="14">
        <f>IFERROR((G19-D19)/D19,"")</f>
        <v/>
      </c>
      <c r="J19" s="13" t="n"/>
      <c r="K19" s="14">
        <f>IFERROR(J19/G19,"")</f>
        <v/>
      </c>
      <c r="L19" s="11" t="inlineStr">
        <is>
          <t>£521000</t>
        </is>
      </c>
      <c r="M19" s="11" t="inlineStr">
        <is>
          <t>Outside region</t>
        </is>
      </c>
      <c r="N19" s="11" t="inlineStr">
        <is>
          <t>Not in October catalogue</t>
        </is>
      </c>
      <c r="O19" s="11" t="inlineStr">
        <is>
          <t>postcode not in catalogue</t>
        </is>
      </c>
    </row>
    <row r="20">
      <c r="A20" s="11" t="inlineStr">
        <is>
          <t>50A</t>
        </is>
      </c>
      <c r="B20" s="12" t="inlineStr">
        <is>
          <t>9 Fallow Court Avenue, Finchley, London, N12 0EA</t>
        </is>
      </c>
      <c r="C20" s="11" t="inlineStr">
        <is>
          <t>£695000+</t>
        </is>
      </c>
      <c r="D20" s="13" t="n">
        <v>695000</v>
      </c>
      <c r="E20" s="11" t="n"/>
      <c r="F20" s="11" t="n"/>
      <c r="G20" s="13" t="n"/>
      <c r="H20" s="13">
        <f>IFERROR(IF(G20&lt;&gt;"",G20,D20)*1.2,"")</f>
        <v>834000.0</v>
      </c>
      <c r="I20" s="14">
        <f>IFERROR((G20-D20)/D20,"")</f>
        <v/>
      </c>
      <c r="J20" s="13" t="n"/>
      <c r="K20" s="14">
        <f>IFERROR(J20/G20,"")</f>
        <v/>
      </c>
      <c r="L20" s="11" t="inlineStr">
        <is>
          <t>£731000</t>
        </is>
      </c>
      <c r="M20" s="11" t="inlineStr">
        <is>
          <t>Outside region</t>
        </is>
      </c>
      <c r="N20" s="11" t="inlineStr">
        <is>
          <t>Not in October catalogue</t>
        </is>
      </c>
      <c r="O20" s="11" t="inlineStr">
        <is>
          <t>postcode not in catalogue</t>
        </is>
      </c>
    </row>
    <row r="21">
      <c r="A21" s="11" t="inlineStr">
        <is>
          <t>98</t>
        </is>
      </c>
      <c r="B21" s="12" t="inlineStr">
        <is>
          <t>196A St. Ann's Hill, Wandsworth, London, SW18 2RT</t>
        </is>
      </c>
      <c r="C21" s="11" t="inlineStr">
        <is>
          <t>£600000+</t>
        </is>
      </c>
      <c r="D21" s="13" t="n">
        <v>600000</v>
      </c>
      <c r="E21" s="11" t="n"/>
      <c r="F21" s="11" t="n"/>
      <c r="G21" s="13" t="n"/>
      <c r="H21" s="13">
        <f>IFERROR(IF(G21&lt;&gt;"",G21,D21)*1.2,"")</f>
        <v>720000.0</v>
      </c>
      <c r="I21" s="14">
        <f>IFERROR((G21-D21)/D21,"")</f>
        <v/>
      </c>
      <c r="J21" s="13" t="n"/>
      <c r="K21" s="14">
        <f>IFERROR(J21/G21,"")</f>
        <v/>
      </c>
      <c r="L21" s="11" t="inlineStr">
        <is>
          <t>£815000</t>
        </is>
      </c>
      <c r="M21" s="11" t="inlineStr">
        <is>
          <t>Outside region</t>
        </is>
      </c>
      <c r="N21" s="11" t="inlineStr">
        <is>
          <t>Not in October catalogue</t>
        </is>
      </c>
      <c r="O21" s="11" t="inlineStr">
        <is>
          <t>postcode not in catalogue</t>
        </is>
      </c>
    </row>
    <row r="22">
      <c r="A22" s="11" t="inlineStr">
        <is>
          <t>22A</t>
        </is>
      </c>
      <c r="B22" s="12" t="inlineStr">
        <is>
          <t>68 St. Margarets Avenue, Whetstone, London, N20 9LJ</t>
        </is>
      </c>
      <c r="C22" s="11" t="inlineStr">
        <is>
          <t>£550000+</t>
        </is>
      </c>
      <c r="D22" s="13" t="n">
        <v>550000</v>
      </c>
      <c r="E22" s="11" t="n"/>
      <c r="F22" s="11" t="n"/>
      <c r="G22" s="13" t="n"/>
      <c r="H22" s="13">
        <f>IFERROR(IF(G22&lt;&gt;"",G22,D22)*1.2,"")</f>
        <v>660000.0</v>
      </c>
      <c r="I22" s="14">
        <f>IFERROR((G22-D22)/D22,"")</f>
        <v/>
      </c>
      <c r="J22" s="13" t="n"/>
      <c r="K22" s="14">
        <f>IFERROR(J22/G22,"")</f>
        <v/>
      </c>
      <c r="L22" s="11" t="inlineStr">
        <is>
          <t>£775000</t>
        </is>
      </c>
      <c r="M22" s="11" t="inlineStr">
        <is>
          <t>Outside region</t>
        </is>
      </c>
      <c r="N22" s="11" t="inlineStr">
        <is>
          <t>Not in October catalogue</t>
        </is>
      </c>
      <c r="O22" s="11" t="inlineStr">
        <is>
          <t>postcode not in catalogue</t>
        </is>
      </c>
    </row>
    <row r="23">
      <c r="A23" s="11" t="inlineStr">
        <is>
          <t>39</t>
        </is>
      </c>
      <c r="B23" s="12" t="inlineStr">
        <is>
          <t>Holmshill House, Summerswood Lane, Borehamwood, Hertfordshire, WD6 5PG</t>
        </is>
      </c>
      <c r="C23" s="11" t="inlineStr">
        <is>
          <t>£525000+</t>
        </is>
      </c>
      <c r="D23" s="13" t="n">
        <v>525000</v>
      </c>
      <c r="E23" s="11" t="n"/>
      <c r="F23" s="11" t="n"/>
      <c r="G23" s="13" t="n"/>
      <c r="H23" s="13">
        <f>IFERROR(IF(G23&lt;&gt;"",G23,D23)*1.2,"")</f>
        <v>630000.0</v>
      </c>
      <c r="I23" s="14">
        <f>IFERROR((G23-D23)/D23,"")</f>
        <v/>
      </c>
      <c r="J23" s="13" t="n">
        <v>625000</v>
      </c>
      <c r="K23" s="14">
        <f>IFERROR(J23/G23,"")</f>
        <v/>
      </c>
      <c r="L23" s="11" t="inlineStr">
        <is>
          <t>£1250000</t>
        </is>
      </c>
      <c r="M23" s="11" t="inlineStr">
        <is>
          <t>Not on Serco list</t>
        </is>
      </c>
      <c r="N23" s="11" t="inlineStr">
        <is>
          <t>Not in October catalogue</t>
        </is>
      </c>
      <c r="O23" s="11" t="inlineStr">
        <is>
          <t>postcode not in catalogue</t>
        </is>
      </c>
    </row>
    <row r="24">
      <c r="A24" s="11" t="inlineStr">
        <is>
          <t>66</t>
        </is>
      </c>
      <c r="B24" s="12" t="inlineStr">
        <is>
          <t>396 Forest Road, Walthamstow, London, E17 5JF</t>
        </is>
      </c>
      <c r="C24" s="11" t="inlineStr">
        <is>
          <t>£500000+</t>
        </is>
      </c>
      <c r="D24" s="13" t="n">
        <v>500000</v>
      </c>
      <c r="E24" s="11" t="n"/>
      <c r="F24" s="11" t="n"/>
      <c r="G24" s="13" t="n"/>
      <c r="H24" s="13">
        <f>IFERROR(IF(G24&lt;&gt;"",G24,D24)*1.2,"")</f>
        <v>600000.0</v>
      </c>
      <c r="I24" s="14">
        <f>IFERROR((G24-D24)/D24,"")</f>
        <v/>
      </c>
      <c r="J24" s="13" t="n"/>
      <c r="K24" s="14">
        <f>IFERROR(J24/G24,"")</f>
        <v/>
      </c>
      <c r="L24" s="11" t="inlineStr">
        <is>
          <t>£468000</t>
        </is>
      </c>
      <c r="M24" s="11" t="inlineStr">
        <is>
          <t>Outside region</t>
        </is>
      </c>
      <c r="N24" s="11" t="inlineStr">
        <is>
          <t>Not in October catalogue</t>
        </is>
      </c>
      <c r="O24" s="11" t="inlineStr">
        <is>
          <t>postcode not in catalogue</t>
        </is>
      </c>
    </row>
    <row r="25">
      <c r="A25" s="11" t="inlineStr">
        <is>
          <t>87 (2)</t>
        </is>
      </c>
      <c r="B25" s="12" t="inlineStr">
        <is>
          <t>Flat 91 Celeste House, 1 Caversham Road, Colindale, London, NW4 4DT</t>
        </is>
      </c>
      <c r="C25" s="11" t="inlineStr">
        <is>
          <t>£500000+</t>
        </is>
      </c>
      <c r="D25" s="13" t="n">
        <v>500000</v>
      </c>
      <c r="E25" s="11" t="n"/>
      <c r="F25" s="11" t="n"/>
      <c r="G25" s="13" t="n"/>
      <c r="H25" s="13">
        <f>IFERROR(IF(G25&lt;&gt;"",G25,D25)*1.2,"")</f>
        <v>600000.0</v>
      </c>
      <c r="I25" s="14">
        <f>IFERROR((G25-D25)/D25,"")</f>
        <v/>
      </c>
      <c r="J25" s="13" t="n"/>
      <c r="K25" s="14">
        <f>IFERROR(J25/G25,"")</f>
        <v/>
      </c>
      <c r="L25" s="11" t="inlineStr">
        <is>
          <t>£693000</t>
        </is>
      </c>
      <c r="M25" s="11" t="inlineStr">
        <is>
          <t>Outside region</t>
        </is>
      </c>
      <c r="N25" s="11" t="inlineStr">
        <is>
          <t>Not in October catalogue</t>
        </is>
      </c>
      <c r="O25" s="11" t="inlineStr">
        <is>
          <t>postcode not in catalogue</t>
        </is>
      </c>
    </row>
    <row r="26">
      <c r="A26" s="11" t="inlineStr">
        <is>
          <t>15</t>
        </is>
      </c>
      <c r="B26" s="12" t="inlineStr">
        <is>
          <t>78 Park Chase, Wembley, Middlesex, HA9 8EH</t>
        </is>
      </c>
      <c r="C26" s="11" t="inlineStr">
        <is>
          <t>£450000+</t>
        </is>
      </c>
      <c r="D26" s="13" t="n">
        <v>450000</v>
      </c>
      <c r="E26" s="11" t="n"/>
      <c r="F26" s="11" t="n"/>
      <c r="G26" s="13" t="n"/>
      <c r="H26" s="13">
        <f>IFERROR(IF(G26&lt;&gt;"",G26,D26)*1.2,"")</f>
        <v>540000.0</v>
      </c>
      <c r="I26" s="14">
        <f>IFERROR((G26-D26)/D26,"")</f>
        <v/>
      </c>
      <c r="J26" s="13" t="n"/>
      <c r="K26" s="14">
        <f>IFERROR(J26/G26,"")</f>
        <v/>
      </c>
      <c r="L26" s="11" t="inlineStr">
        <is>
          <t>£463000</t>
        </is>
      </c>
      <c r="M26" s="11" t="inlineStr">
        <is>
          <t>Outside region</t>
        </is>
      </c>
      <c r="N26" s="11" t="inlineStr">
        <is>
          <t>Not in October catalogue</t>
        </is>
      </c>
      <c r="O26" s="11" t="inlineStr">
        <is>
          <t>postcode not in catalogue</t>
        </is>
      </c>
    </row>
    <row r="27">
      <c r="A27" s="11" t="inlineStr">
        <is>
          <t>54</t>
        </is>
      </c>
      <c r="B27" s="12" t="inlineStr">
        <is>
          <t>Archie Court, 43 Marina, St Leonards-on-Sea, East Sussex, TN38 0BE</t>
        </is>
      </c>
      <c r="C27" s="11" t="inlineStr">
        <is>
          <t>£450000+</t>
        </is>
      </c>
      <c r="D27" s="13" t="n">
        <v>450000</v>
      </c>
      <c r="E27" s="11" t="n"/>
      <c r="F27" s="11" t="n"/>
      <c r="G27" s="13" t="n"/>
      <c r="H27" s="13">
        <f>IFERROR(IF(G27&lt;&gt;"",G27,D27)*1.2,"")</f>
        <v>540000.0</v>
      </c>
      <c r="I27" s="14">
        <f>IFERROR((G27-D27)/D27,"")</f>
        <v/>
      </c>
      <c r="J27" s="13" t="n"/>
      <c r="K27" s="14">
        <f>IFERROR(J27/G27,"")</f>
        <v/>
      </c>
      <c r="L27" s="11" t="inlineStr">
        <is>
          <t>N/A</t>
        </is>
      </c>
      <c r="M27" s="11" t="inlineStr">
        <is>
          <t>Outside region</t>
        </is>
      </c>
      <c r="N27" s="11" t="inlineStr">
        <is>
          <t>Not in October catalogue</t>
        </is>
      </c>
      <c r="O27" s="11" t="inlineStr">
        <is>
          <t>postcode not in catalogue</t>
        </is>
      </c>
    </row>
    <row r="28">
      <c r="A28" s="11" t="inlineStr">
        <is>
          <t>25A</t>
        </is>
      </c>
      <c r="B28" s="12" t="inlineStr">
        <is>
          <t>15 Palestine Grove, Colliers Wood, London, SW19 2QN</t>
        </is>
      </c>
      <c r="C28" s="11" t="inlineStr">
        <is>
          <t>£425000+</t>
        </is>
      </c>
      <c r="D28" s="13" t="n">
        <v>425000</v>
      </c>
      <c r="E28" s="11" t="n"/>
      <c r="F28" s="11" t="n"/>
      <c r="G28" s="13" t="n"/>
      <c r="H28" s="13">
        <f>IFERROR(IF(G28&lt;&gt;"",G28,D28)*1.2,"")</f>
        <v>510000.0</v>
      </c>
      <c r="I28" s="14">
        <f>IFERROR((G28-D28)/D28,"")</f>
        <v/>
      </c>
      <c r="J28" s="13" t="n"/>
      <c r="K28" s="14">
        <f>IFERROR(J28/G28,"")</f>
        <v/>
      </c>
      <c r="L28" s="11" t="inlineStr">
        <is>
          <t>£581000</t>
        </is>
      </c>
      <c r="M28" s="11" t="inlineStr">
        <is>
          <t>Outside region</t>
        </is>
      </c>
      <c r="N28" s="11" t="inlineStr">
        <is>
          <t>Not in October catalogue</t>
        </is>
      </c>
      <c r="O28" s="11" t="inlineStr">
        <is>
          <t>postcode not in catalogue</t>
        </is>
      </c>
    </row>
    <row r="29">
      <c r="A29" s="11" t="inlineStr">
        <is>
          <t>120</t>
        </is>
      </c>
      <c r="B29" s="12" t="inlineStr">
        <is>
          <t>Flat 23, 2 Manilla Street, Canary Wharf, London, E14 8GB</t>
        </is>
      </c>
      <c r="C29" s="11" t="inlineStr">
        <is>
          <t>£350000+</t>
        </is>
      </c>
      <c r="D29" s="13" t="n">
        <v>350000</v>
      </c>
      <c r="E29" s="11" t="n"/>
      <c r="F29" s="11" t="n"/>
      <c r="G29" s="13" t="n"/>
      <c r="H29" s="13">
        <f>IFERROR(IF(G29&lt;&gt;"",G29,D29)*1.2,"")</f>
        <v>420000.0</v>
      </c>
      <c r="I29" s="14">
        <f>IFERROR((G29-D29)/D29,"")</f>
        <v/>
      </c>
      <c r="J29" s="13" t="n"/>
      <c r="K29" s="14">
        <f>IFERROR(J29/G29,"")</f>
        <v/>
      </c>
      <c r="L29" s="11" t="inlineStr">
        <is>
          <t>£534000</t>
        </is>
      </c>
      <c r="M29" s="11" t="inlineStr">
        <is>
          <t>Outside region</t>
        </is>
      </c>
      <c r="N29" s="11" t="inlineStr">
        <is>
          <t>Not in October catalogue</t>
        </is>
      </c>
      <c r="O29" s="11" t="inlineStr">
        <is>
          <t>postcode not in catalogue</t>
        </is>
      </c>
    </row>
    <row r="30">
      <c r="A30" s="11" t="inlineStr">
        <is>
          <t>56</t>
        </is>
      </c>
      <c r="B30" s="12" t="inlineStr">
        <is>
          <t>2 Holliday Street, Berkhamsted, Hertfordshire, HP4 2EE</t>
        </is>
      </c>
      <c r="C30" s="11" t="inlineStr">
        <is>
          <t>£325000+</t>
        </is>
      </c>
      <c r="D30" s="13" t="n">
        <v>325000</v>
      </c>
      <c r="E30" s="11" t="n"/>
      <c r="F30" s="11" t="n"/>
      <c r="G30" s="13" t="n"/>
      <c r="H30" s="13">
        <f>IFERROR(IF(G30&lt;&gt;"",G30,D30)*1.2,"")</f>
        <v>390000.0</v>
      </c>
      <c r="I30" s="14">
        <f>IFERROR((G30-D30)/D30,"")</f>
        <v/>
      </c>
      <c r="J30" s="13" t="n"/>
      <c r="K30" s="14">
        <f>IFERROR(J30/G30,"")</f>
        <v/>
      </c>
      <c r="L30" s="11" t="inlineStr">
        <is>
          <t>£491000</t>
        </is>
      </c>
      <c r="M30" s="11" t="inlineStr">
        <is>
          <t>Not on Serco list</t>
        </is>
      </c>
      <c r="N30" s="11" t="inlineStr">
        <is>
          <t>Not in October catalogue</t>
        </is>
      </c>
      <c r="O30" s="11" t="inlineStr">
        <is>
          <t>postcode not in catalogue</t>
        </is>
      </c>
    </row>
    <row r="31">
      <c r="A31" s="11" t="inlineStr">
        <is>
          <t>21</t>
        </is>
      </c>
      <c r="B31" s="12" t="inlineStr">
        <is>
          <t>19 Jarvis Road, South Croydon, Surrey, CR2 6HW</t>
        </is>
      </c>
      <c r="C31" s="11" t="inlineStr">
        <is>
          <t>£300000+</t>
        </is>
      </c>
      <c r="D31" s="13" t="n">
        <v>300000</v>
      </c>
      <c r="E31" s="11" t="n"/>
      <c r="F31" s="11" t="n"/>
      <c r="G31" s="13" t="n"/>
      <c r="H31" s="13">
        <f>IFERROR(IF(G31&lt;&gt;"",G31,D31)*1.2,"")</f>
        <v>360000.0</v>
      </c>
      <c r="I31" s="14">
        <f>IFERROR((G31-D31)/D31,"")</f>
        <v/>
      </c>
      <c r="J31" s="13" t="n"/>
      <c r="K31" s="14">
        <f>IFERROR(J31/G31,"")</f>
        <v/>
      </c>
      <c r="L31" s="11" t="inlineStr">
        <is>
          <t>£313000</t>
        </is>
      </c>
      <c r="M31" s="11" t="inlineStr">
        <is>
          <t>Outside region</t>
        </is>
      </c>
      <c r="N31" s="11" t="inlineStr">
        <is>
          <t>Not in October catalogue</t>
        </is>
      </c>
      <c r="O31" s="11" t="inlineStr">
        <is>
          <t>postcode not in catalogue</t>
        </is>
      </c>
    </row>
    <row r="32">
      <c r="A32" s="11" t="inlineStr">
        <is>
          <t>122</t>
        </is>
      </c>
      <c r="B32" s="12" t="inlineStr">
        <is>
          <t>73 Hampton Road, Teddington, Middlesex, TW11 0LA</t>
        </is>
      </c>
      <c r="C32" s="11" t="inlineStr">
        <is>
          <t>£300000+</t>
        </is>
      </c>
      <c r="D32" s="13" t="n">
        <v>300000</v>
      </c>
      <c r="E32" s="11" t="n"/>
      <c r="F32" s="11" t="n"/>
      <c r="G32" s="13" t="n"/>
      <c r="H32" s="13">
        <f>IFERROR(IF(G32&lt;&gt;"",G32,D32)*1.2,"")</f>
        <v>360000.0</v>
      </c>
      <c r="I32" s="14">
        <f>IFERROR((G32-D32)/D32,"")</f>
        <v/>
      </c>
      <c r="J32" s="13" t="n"/>
      <c r="K32" s="14">
        <f>IFERROR(J32/G32,"")</f>
        <v/>
      </c>
      <c r="L32" s="11" t="inlineStr">
        <is>
          <t>£533000</t>
        </is>
      </c>
      <c r="M32" s="11" t="inlineStr">
        <is>
          <t>Outside region</t>
        </is>
      </c>
      <c r="N32" s="11" t="inlineStr">
        <is>
          <t>Not in October catalogue</t>
        </is>
      </c>
      <c r="O32" s="11" t="inlineStr">
        <is>
          <t>postcode not in catalogue</t>
        </is>
      </c>
    </row>
    <row r="33">
      <c r="A33" s="11" t="inlineStr">
        <is>
          <t>28A</t>
        </is>
      </c>
      <c r="B33" s="12" t="inlineStr">
        <is>
          <t>21 Wyncham Avenue, Sidcup, Kent, DA15 8EU</t>
        </is>
      </c>
      <c r="C33" s="11" t="inlineStr">
        <is>
          <t>£295000+</t>
        </is>
      </c>
      <c r="D33" s="13" t="n">
        <v>295000</v>
      </c>
      <c r="E33" s="11" t="n"/>
      <c r="F33" s="11" t="n"/>
      <c r="G33" s="13" t="n"/>
      <c r="H33" s="13">
        <f>IFERROR(IF(G33&lt;&gt;"",G33,D33)*1.2,"")</f>
        <v>354000.0</v>
      </c>
      <c r="I33" s="14">
        <f>IFERROR((G33-D33)/D33,"")</f>
        <v/>
      </c>
      <c r="J33" s="13" t="n">
        <v>325000</v>
      </c>
      <c r="K33" s="14">
        <f>IFERROR(J33/G33,"")</f>
        <v/>
      </c>
      <c r="L33" s="11" t="inlineStr">
        <is>
          <t>£585000</t>
        </is>
      </c>
      <c r="M33" s="11" t="inlineStr">
        <is>
          <t>Outside region</t>
        </is>
      </c>
      <c r="N33" s="11" t="inlineStr">
        <is>
          <t>Not in October catalogue</t>
        </is>
      </c>
      <c r="O33" s="11" t="inlineStr">
        <is>
          <t>postcode not in catalogue</t>
        </is>
      </c>
    </row>
    <row r="34">
      <c r="A34" s="11" t="inlineStr">
        <is>
          <t>29</t>
        </is>
      </c>
      <c r="B34" s="12" t="inlineStr">
        <is>
          <t>174B Bravington Road, Maida Vale, London, W9 3AP</t>
        </is>
      </c>
      <c r="C34" s="11" t="inlineStr">
        <is>
          <t>£295000+</t>
        </is>
      </c>
      <c r="D34" s="13" t="n">
        <v>295000</v>
      </c>
      <c r="E34" s="11" t="n"/>
      <c r="F34" s="11" t="n"/>
      <c r="G34" s="13" t="n"/>
      <c r="H34" s="13">
        <f>IFERROR(IF(G34&lt;&gt;"",G34,D34)*1.2,"")</f>
        <v>354000.0</v>
      </c>
      <c r="I34" s="14">
        <f>IFERROR((G34-D34)/D34,"")</f>
        <v/>
      </c>
      <c r="J34" s="13" t="n"/>
      <c r="K34" s="14">
        <f>IFERROR(J34/G34,"")</f>
        <v/>
      </c>
      <c r="L34" s="11" t="inlineStr">
        <is>
          <t>£572000</t>
        </is>
      </c>
      <c r="M34" s="11" t="inlineStr">
        <is>
          <t>Outside region</t>
        </is>
      </c>
      <c r="N34" s="11" t="inlineStr">
        <is>
          <t>Not in October catalogue</t>
        </is>
      </c>
      <c r="O34" s="11" t="inlineStr">
        <is>
          <t>postcode not in catalogue</t>
        </is>
      </c>
    </row>
    <row r="35">
      <c r="A35" s="11" t="inlineStr">
        <is>
          <t>71</t>
        </is>
      </c>
      <c r="B35" s="12" t="inlineStr">
        <is>
          <t>17-19 Umberston Street, Tower Hamlets, London, E1 1PY</t>
        </is>
      </c>
      <c r="C35" s="11" t="inlineStr">
        <is>
          <t>£275000+</t>
        </is>
      </c>
      <c r="D35" s="13" t="n">
        <v>275000</v>
      </c>
      <c r="E35" s="11" t="n"/>
      <c r="F35" s="11" t="n"/>
      <c r="G35" s="13" t="n"/>
      <c r="H35" s="13">
        <f>IFERROR(IF(G35&lt;&gt;"",G35,D35)*1.2,"")</f>
        <v>330000.0</v>
      </c>
      <c r="I35" s="14">
        <f>IFERROR((G35-D35)/D35,"")</f>
        <v/>
      </c>
      <c r="J35" s="13" t="n"/>
      <c r="K35" s="14">
        <f>IFERROR(J35/G35,"")</f>
        <v/>
      </c>
      <c r="L35" s="11" t="inlineStr">
        <is>
          <t>N/A - commercial</t>
        </is>
      </c>
      <c r="M35" s="11" t="inlineStr">
        <is>
          <t>Outside region</t>
        </is>
      </c>
      <c r="N35" s="11" t="inlineStr">
        <is>
          <t>Not in October catalogue</t>
        </is>
      </c>
      <c r="O35" s="11" t="inlineStr">
        <is>
          <t>postcode not in catalogue</t>
        </is>
      </c>
    </row>
    <row r="36">
      <c r="A36" s="11" t="inlineStr">
        <is>
          <t>40</t>
        </is>
      </c>
      <c r="B36" s="12" t="inlineStr">
        <is>
          <t>Land Adjacent to Esso, Hogg Lane, Grays, Essex, RM17 5JA</t>
        </is>
      </c>
      <c r="C36" s="11" t="inlineStr">
        <is>
          <t>£235000+</t>
        </is>
      </c>
      <c r="D36" s="13" t="n">
        <v>235000</v>
      </c>
      <c r="E36" s="11" t="n"/>
      <c r="F36" s="11" t="n"/>
      <c r="G36" s="13" t="n"/>
      <c r="H36" s="13">
        <f>IFERROR(IF(G36&lt;&gt;"",G36,D36)*1.2,"")</f>
        <v>282000.0</v>
      </c>
      <c r="I36" s="14">
        <f>IFERROR((G36-D36)/D36,"")</f>
        <v/>
      </c>
      <c r="J36" s="13" t="n"/>
      <c r="K36" s="14">
        <f>IFERROR(J36/G36,"")</f>
        <v/>
      </c>
      <c r="L36" s="11" t="inlineStr">
        <is>
          <t>N/A - land</t>
        </is>
      </c>
      <c r="M36" s="11" t="inlineStr">
        <is>
          <t>Not on Serco list</t>
        </is>
      </c>
      <c r="N36" s="11" t="inlineStr">
        <is>
          <t>Not in October catalogue</t>
        </is>
      </c>
      <c r="O36" s="11" t="inlineStr">
        <is>
          <t>postcode not in catalogue</t>
        </is>
      </c>
    </row>
    <row r="37">
      <c r="A37" s="11" t="inlineStr">
        <is>
          <t>123</t>
        </is>
      </c>
      <c r="B37" s="12" t="inlineStr">
        <is>
          <t>98 Victoria Road North, Southsea, Hampshire, PO5 1QE</t>
        </is>
      </c>
      <c r="C37" s="11" t="inlineStr">
        <is>
          <t>£220000+</t>
        </is>
      </c>
      <c r="D37" s="13" t="n">
        <v>220000</v>
      </c>
      <c r="E37" s="11" t="n"/>
      <c r="F37" s="11" t="n"/>
      <c r="G37" s="13" t="n"/>
      <c r="H37" s="13">
        <f>IFERROR(IF(G37&lt;&gt;"",G37,D37)*1.2,"")</f>
        <v>264000.0</v>
      </c>
      <c r="I37" s="14">
        <f>IFERROR((G37-D37)/D37,"")</f>
        <v/>
      </c>
      <c r="J37" s="13" t="n"/>
      <c r="K37" s="14">
        <f>IFERROR(J37/G37,"")</f>
        <v/>
      </c>
      <c r="L37" s="11" t="inlineStr">
        <is>
          <t>£269000</t>
        </is>
      </c>
      <c r="M37" s="11" t="inlineStr">
        <is>
          <t>Outside region</t>
        </is>
      </c>
      <c r="N37" s="11" t="inlineStr">
        <is>
          <t>Not in October catalogue</t>
        </is>
      </c>
      <c r="O37" s="11" t="inlineStr">
        <is>
          <t>postcode not in catalogue</t>
        </is>
      </c>
    </row>
    <row r="38">
      <c r="A38" s="11" t="inlineStr">
        <is>
          <t>9</t>
        </is>
      </c>
      <c r="B38" s="12" t="inlineStr">
        <is>
          <t>9 St Anns Court, 45 Sunningfields Road, Hendon, London, NW4 4QY</t>
        </is>
      </c>
      <c r="C38" s="11" t="inlineStr">
        <is>
          <t>£200000+</t>
        </is>
      </c>
      <c r="D38" s="13" t="n">
        <v>200000</v>
      </c>
      <c r="E38" s="11" t="n"/>
      <c r="F38" s="11" t="n"/>
      <c r="G38" s="13" t="n"/>
      <c r="H38" s="13">
        <f>IFERROR(IF(G38&lt;&gt;"",G38,D38)*1.2,"")</f>
        <v>240000.0</v>
      </c>
      <c r="I38" s="14">
        <f>IFERROR((G38-D38)/D38,"")</f>
        <v/>
      </c>
      <c r="J38" s="13" t="n"/>
      <c r="K38" s="14">
        <f>IFERROR(J38/G38,"")</f>
        <v/>
      </c>
      <c r="L38" s="11" t="inlineStr">
        <is>
          <t>£250000</t>
        </is>
      </c>
      <c r="M38" s="11" t="inlineStr">
        <is>
          <t>Outside region</t>
        </is>
      </c>
      <c r="N38" s="11" t="inlineStr">
        <is>
          <t>Not in October catalogue</t>
        </is>
      </c>
      <c r="O38" s="11" t="inlineStr">
        <is>
          <t>postcode not in catalogue</t>
        </is>
      </c>
    </row>
    <row r="39">
      <c r="A39" s="11" t="inlineStr">
        <is>
          <t>46</t>
        </is>
      </c>
      <c r="B39" s="12" t="inlineStr">
        <is>
          <t>Ground Floor and Basement Flat, 134 Gipsy Hill, Crystal Palace, London, SE19 1PW</t>
        </is>
      </c>
      <c r="C39" s="11" t="inlineStr">
        <is>
          <t>£200000+</t>
        </is>
      </c>
      <c r="D39" s="13" t="n">
        <v>200000</v>
      </c>
      <c r="E39" s="11" t="n"/>
      <c r="F39" s="11" t="n"/>
      <c r="G39" s="13" t="n"/>
      <c r="H39" s="13">
        <f>IFERROR(IF(G39&lt;&gt;"",G39,D39)*1.2,"")</f>
        <v>240000.0</v>
      </c>
      <c r="I39" s="14">
        <f>IFERROR((G39-D39)/D39,"")</f>
        <v/>
      </c>
      <c r="J39" s="13" t="n">
        <v>220000</v>
      </c>
      <c r="K39" s="14">
        <f>IFERROR(J39/G39,"")</f>
        <v/>
      </c>
      <c r="L39" s="11" t="inlineStr">
        <is>
          <t>£368000</t>
        </is>
      </c>
      <c r="M39" s="11" t="inlineStr">
        <is>
          <t>Outside region</t>
        </is>
      </c>
      <c r="N39" s="11" t="inlineStr">
        <is>
          <t>Not in October catalogue</t>
        </is>
      </c>
      <c r="O39" s="11" t="inlineStr">
        <is>
          <t>postcode not in catalogue</t>
        </is>
      </c>
    </row>
    <row r="40">
      <c r="A40" s="11" t="inlineStr">
        <is>
          <t>67</t>
        </is>
      </c>
      <c r="B40" s="12" t="inlineStr">
        <is>
          <t>Foelas Residential Home, Station Road, Llanrug, Caernarfon, Gwynedd, LL55 4BE</t>
        </is>
      </c>
      <c r="C40" s="11" t="inlineStr">
        <is>
          <t>£200000+</t>
        </is>
      </c>
      <c r="D40" s="13" t="n">
        <v>200000</v>
      </c>
      <c r="E40" s="11" t="n"/>
      <c r="F40" s="11" t="n"/>
      <c r="G40" s="13" t="n"/>
      <c r="H40" s="13">
        <f>IFERROR(IF(G40&lt;&gt;"",G40,D40)*1.2,"")</f>
        <v>240000.0</v>
      </c>
      <c r="I40" s="14">
        <f>IFERROR((G40-D40)/D40,"")</f>
        <v/>
      </c>
      <c r="J40" s="13" t="n"/>
      <c r="K40" s="14">
        <f>IFERROR(J40/G40,"")</f>
        <v/>
      </c>
      <c r="L40" s="11" t="inlineStr">
        <is>
          <t>N/A</t>
        </is>
      </c>
      <c r="M40" s="11" t="inlineStr">
        <is>
          <t>Outside region</t>
        </is>
      </c>
      <c r="N40" s="11" t="inlineStr">
        <is>
          <t>Not in October catalogue</t>
        </is>
      </c>
      <c r="O40" s="11" t="inlineStr">
        <is>
          <t>postcode not in catalogue</t>
        </is>
      </c>
    </row>
    <row r="41">
      <c r="A41" s="11" t="inlineStr">
        <is>
          <t>68</t>
        </is>
      </c>
      <c r="B41" s="12" t="inlineStr">
        <is>
          <t>Unit 6-6B South Middleton Base, Greenwell Road, Aberdeen, AB12 3AX</t>
        </is>
      </c>
      <c r="C41" s="11" t="inlineStr">
        <is>
          <t>£200000+</t>
        </is>
      </c>
      <c r="D41" s="13" t="n">
        <v>200000</v>
      </c>
      <c r="E41" s="11" t="n"/>
      <c r="F41" s="11" t="n"/>
      <c r="G41" s="13" t="n"/>
      <c r="H41" s="13">
        <f>IFERROR(IF(G41&lt;&gt;"",G41,D41)*1.2,"")</f>
        <v>240000.0</v>
      </c>
      <c r="I41" s="14">
        <f>IFERROR((G41-D41)/D41,"")</f>
        <v/>
      </c>
      <c r="J41" s="13" t="n"/>
      <c r="K41" s="14">
        <f>IFERROR(J41/G41,"")</f>
        <v/>
      </c>
      <c r="L41" s="11" t="inlineStr">
        <is>
          <t>N/A - commercial</t>
        </is>
      </c>
      <c r="M41" s="11" t="inlineStr">
        <is>
          <t>Outside region</t>
        </is>
      </c>
      <c r="N41" s="11" t="inlineStr">
        <is>
          <t>Not in October catalogue</t>
        </is>
      </c>
      <c r="O41" s="11" t="inlineStr">
        <is>
          <t>postcode not in catalogue</t>
        </is>
      </c>
    </row>
    <row r="42">
      <c r="A42" s="11" t="inlineStr">
        <is>
          <t>83</t>
        </is>
      </c>
      <c r="B42" s="12" t="inlineStr">
        <is>
          <t>Flat 17 Forest Croft, Taymount Rise, Forest Hill, London, SE23 3UN</t>
        </is>
      </c>
      <c r="C42" s="11" t="inlineStr">
        <is>
          <t>£200000+</t>
        </is>
      </c>
      <c r="D42" s="13" t="n">
        <v>200000</v>
      </c>
      <c r="E42" s="11" t="n"/>
      <c r="F42" s="11" t="n"/>
      <c r="G42" s="13" t="n"/>
      <c r="H42" s="13">
        <f>IFERROR(IF(G42&lt;&gt;"",G42,D42)*1.2,"")</f>
        <v>240000.0</v>
      </c>
      <c r="I42" s="14">
        <f>IFERROR((G42-D42)/D42,"")</f>
        <v/>
      </c>
      <c r="J42" s="13" t="n"/>
      <c r="K42" s="14">
        <f>IFERROR(J42/G42,"")</f>
        <v/>
      </c>
      <c r="L42" s="11" t="inlineStr">
        <is>
          <t>£256000</t>
        </is>
      </c>
      <c r="M42" s="11" t="inlineStr">
        <is>
          <t>Outside region</t>
        </is>
      </c>
      <c r="N42" s="11" t="inlineStr">
        <is>
          <t>Not in October catalogue</t>
        </is>
      </c>
      <c r="O42" s="11" t="inlineStr">
        <is>
          <t>postcode not in catalogue</t>
        </is>
      </c>
    </row>
    <row r="43">
      <c r="A43" s="11" t="inlineStr">
        <is>
          <t>106</t>
        </is>
      </c>
      <c r="B43" s="12" t="inlineStr">
        <is>
          <t>29 The Crescent, Eastbourne, East Sussex, BN20 8PX</t>
        </is>
      </c>
      <c r="C43" s="11" t="inlineStr">
        <is>
          <t>£200000+</t>
        </is>
      </c>
      <c r="D43" s="13" t="n">
        <v>200000</v>
      </c>
      <c r="E43" s="11" t="n"/>
      <c r="F43" s="11" t="n"/>
      <c r="G43" s="13" t="n"/>
      <c r="H43" s="13">
        <f>IFERROR(IF(G43&lt;&gt;"",G43,D43)*1.2,"")</f>
        <v>240000.0</v>
      </c>
      <c r="I43" s="14">
        <f>IFERROR((G43-D43)/D43,"")</f>
        <v/>
      </c>
      <c r="J43" s="13" t="n"/>
      <c r="K43" s="14">
        <f>IFERROR(J43/G43,"")</f>
        <v/>
      </c>
      <c r="L43" s="11" t="inlineStr">
        <is>
          <t>£203000</t>
        </is>
      </c>
      <c r="M43" s="11" t="inlineStr">
        <is>
          <t>Outside region</t>
        </is>
      </c>
      <c r="N43" s="11" t="inlineStr">
        <is>
          <t>Not in October catalogue</t>
        </is>
      </c>
      <c r="O43" s="11" t="inlineStr">
        <is>
          <t>postcode not in catalogue</t>
        </is>
      </c>
    </row>
    <row r="44">
      <c r="A44" s="11" t="inlineStr">
        <is>
          <t>108</t>
        </is>
      </c>
      <c r="B44" s="12" t="inlineStr">
        <is>
          <t>21 Greenfield Road, Pulloxhill, Bedford, Bedfordshire, MK45 5EZ</t>
        </is>
      </c>
      <c r="C44" s="11" t="inlineStr">
        <is>
          <t>£200000+</t>
        </is>
      </c>
      <c r="D44" s="13" t="n">
        <v>200000</v>
      </c>
      <c r="E44" s="11" t="n"/>
      <c r="F44" s="11" t="n"/>
      <c r="G44" s="13" t="n"/>
      <c r="H44" s="13">
        <f>IFERROR(IF(G44&lt;&gt;"",G44,D44)*1.2,"")</f>
        <v>240000.0</v>
      </c>
      <c r="I44" s="14">
        <f>IFERROR((G44-D44)/D44,"")</f>
        <v/>
      </c>
      <c r="J44" s="13" t="n">
        <v>250000</v>
      </c>
      <c r="K44" s="14">
        <f>IFERROR(J44/G44,"")</f>
        <v/>
      </c>
      <c r="L44" s="11" t="inlineStr">
        <is>
          <t>£366000</t>
        </is>
      </c>
      <c r="M44" s="11" t="inlineStr">
        <is>
          <t>Not on Serco list</t>
        </is>
      </c>
      <c r="N44" s="11" t="inlineStr">
        <is>
          <t>Not in October catalogue</t>
        </is>
      </c>
      <c r="O44" s="11" t="inlineStr">
        <is>
          <t>postcode not in catalogue</t>
        </is>
      </c>
    </row>
    <row r="45">
      <c r="A45" s="11" t="inlineStr">
        <is>
          <t>120A</t>
        </is>
      </c>
      <c r="B45" s="12" t="inlineStr">
        <is>
          <t>21 Preston Lane, Lyneham, Chippenham, Wiltshire, SN15 4AR</t>
        </is>
      </c>
      <c r="C45" s="11" t="inlineStr">
        <is>
          <t>£200000+</t>
        </is>
      </c>
      <c r="D45" s="13" t="n">
        <v>200000</v>
      </c>
      <c r="E45" s="11" t="n"/>
      <c r="F45" s="11" t="n"/>
      <c r="G45" s="13" t="n"/>
      <c r="H45" s="13">
        <f>IFERROR(IF(G45&lt;&gt;"",G45,D45)*1.2,"")</f>
        <v>240000.0</v>
      </c>
      <c r="I45" s="14">
        <f>IFERROR((G45-D45)/D45,"")</f>
        <v/>
      </c>
      <c r="J45" s="13" t="n"/>
      <c r="K45" s="14">
        <f>IFERROR(J45/G45,"")</f>
        <v/>
      </c>
      <c r="L45" s="11" t="inlineStr">
        <is>
          <t>£252000</t>
        </is>
      </c>
      <c r="M45" s="11" t="inlineStr">
        <is>
          <t>Outside region</t>
        </is>
      </c>
      <c r="N45" s="11" t="inlineStr">
        <is>
          <t>Not in October catalogue</t>
        </is>
      </c>
      <c r="O45" s="11" t="inlineStr">
        <is>
          <t>postcode not in catalogue</t>
        </is>
      </c>
    </row>
    <row r="46">
      <c r="A46" s="11" t="inlineStr">
        <is>
          <t>121</t>
        </is>
      </c>
      <c r="B46" s="12" t="inlineStr">
        <is>
          <t>103 Buckingham Road, Edgware, Middlesex, HA8 6NN</t>
        </is>
      </c>
      <c r="C46" s="11" t="inlineStr">
        <is>
          <t>£185000+</t>
        </is>
      </c>
      <c r="D46" s="13" t="n">
        <v>185000</v>
      </c>
      <c r="E46" s="11" t="n"/>
      <c r="F46" s="11" t="n"/>
      <c r="G46" s="13" t="n"/>
      <c r="H46" s="13">
        <f>IFERROR(IF(G46&lt;&gt;"",G46,D46)*1.2,"")</f>
        <v>222000.0</v>
      </c>
      <c r="I46" s="14">
        <f>IFERROR((G46-D46)/D46,"")</f>
        <v/>
      </c>
      <c r="J46" s="13" t="n"/>
      <c r="K46" s="14">
        <f>IFERROR(J46/G46,"")</f>
        <v/>
      </c>
      <c r="L46" s="11" t="inlineStr">
        <is>
          <t>£190000</t>
        </is>
      </c>
      <c r="M46" s="11" t="inlineStr">
        <is>
          <t>Outside region</t>
        </is>
      </c>
      <c r="N46" s="11" t="inlineStr">
        <is>
          <t>Not in October catalogue</t>
        </is>
      </c>
      <c r="O46" s="11" t="inlineStr">
        <is>
          <t>postcode not in catalogue</t>
        </is>
      </c>
    </row>
    <row r="47">
      <c r="A47" s="11" t="inlineStr">
        <is>
          <t>104</t>
        </is>
      </c>
      <c r="B47" s="12" t="inlineStr">
        <is>
          <t>Flat 41 Latchingdon Court, 26 Forest Road, Walthamstow, London, E17 6JT</t>
        </is>
      </c>
      <c r="C47" s="11" t="inlineStr">
        <is>
          <t>£180000+</t>
        </is>
      </c>
      <c r="D47" s="13" t="n">
        <v>180000</v>
      </c>
      <c r="E47" s="11" t="n"/>
      <c r="F47" s="11" t="n"/>
      <c r="G47" s="13" t="n"/>
      <c r="H47" s="13">
        <f>IFERROR(IF(G47&lt;&gt;"",G47,D47)*1.2,"")</f>
        <v>216000.0</v>
      </c>
      <c r="I47" s="14">
        <f>IFERROR((G47-D47)/D47,"")</f>
        <v/>
      </c>
      <c r="J47" s="13" t="n">
        <v>200000</v>
      </c>
      <c r="K47" s="14">
        <f>IFERROR(J47/G47,"")</f>
        <v/>
      </c>
      <c r="L47" s="11" t="inlineStr">
        <is>
          <t>£333000</t>
        </is>
      </c>
      <c r="M47" s="11" t="inlineStr">
        <is>
          <t>Outside region</t>
        </is>
      </c>
      <c r="N47" s="11" t="inlineStr">
        <is>
          <t>Not in October catalogue</t>
        </is>
      </c>
      <c r="O47" s="11" t="inlineStr">
        <is>
          <t>postcode not in catalogue</t>
        </is>
      </c>
    </row>
    <row r="48">
      <c r="A48" s="11" t="inlineStr">
        <is>
          <t>64</t>
        </is>
      </c>
      <c r="B48" s="12" t="inlineStr">
        <is>
          <t>13 Hope Street, Crook, County Durham, DL15 9HS</t>
        </is>
      </c>
      <c r="C48" s="11" t="inlineStr">
        <is>
          <t>£175000+</t>
        </is>
      </c>
      <c r="D48" s="13" t="n">
        <v>175000</v>
      </c>
      <c r="E48" s="11" t="n"/>
      <c r="F48" s="11" t="n"/>
      <c r="G48" s="13" t="n"/>
      <c r="H48" s="13">
        <f>IFERROR(IF(G48&lt;&gt;"",G48,D48)*1.2,"")</f>
        <v>210000.0</v>
      </c>
      <c r="I48" s="14">
        <f>IFERROR((G48-D48)/D48,"")</f>
        <v/>
      </c>
      <c r="J48" s="13" t="n"/>
      <c r="K48" s="14">
        <f>IFERROR(J48/G48,"")</f>
        <v/>
      </c>
      <c r="L48" s="11" t="inlineStr">
        <is>
          <t>£95000</t>
        </is>
      </c>
      <c r="M48" s="11" t="inlineStr">
        <is>
          <t>Outside region</t>
        </is>
      </c>
      <c r="N48" s="11" t="inlineStr">
        <is>
          <t>Not in October catalogue</t>
        </is>
      </c>
      <c r="O48" s="11" t="inlineStr">
        <is>
          <t>postcode not in catalogue</t>
        </is>
      </c>
    </row>
    <row r="49">
      <c r="A49" s="11" t="inlineStr">
        <is>
          <t>158</t>
        </is>
      </c>
      <c r="B49" s="12" t="inlineStr">
        <is>
          <t>Flat 43 Ferrydale Lodge, 48 Church Road, Hendon, London, NW4 4EW</t>
        </is>
      </c>
      <c r="C49" s="11" t="inlineStr">
        <is>
          <t>£170000+</t>
        </is>
      </c>
      <c r="D49" s="13" t="n">
        <v>170000</v>
      </c>
      <c r="E49" s="11" t="n"/>
      <c r="F49" s="11" t="n"/>
      <c r="G49" s="13" t="n"/>
      <c r="H49" s="13">
        <f>IFERROR(IF(G49&lt;&gt;"",G49,D49)*1.2,"")</f>
        <v>204000.0</v>
      </c>
      <c r="I49" s="14">
        <f>IFERROR((G49-D49)/D49,"")</f>
        <v/>
      </c>
      <c r="J49" s="13" t="n"/>
      <c r="K49" s="14">
        <f>IFERROR(J49/G49,"")</f>
        <v/>
      </c>
      <c r="L49" s="11" t="inlineStr">
        <is>
          <t>£224000</t>
        </is>
      </c>
      <c r="M49" s="11" t="inlineStr">
        <is>
          <t>Outside region</t>
        </is>
      </c>
      <c r="N49" s="11" t="inlineStr">
        <is>
          <t>Not in October catalogue</t>
        </is>
      </c>
      <c r="O49" s="11" t="inlineStr">
        <is>
          <t>postcode not in catalogue</t>
        </is>
      </c>
    </row>
    <row r="50">
      <c r="A50" s="11" t="inlineStr">
        <is>
          <t>87</t>
        </is>
      </c>
      <c r="B50" s="12" t="inlineStr">
        <is>
          <t>325A London Road, Westcliff-on-Sea, Essex, SS0 7BX</t>
        </is>
      </c>
      <c r="C50" s="11" t="inlineStr">
        <is>
          <t>£160000+</t>
        </is>
      </c>
      <c r="D50" s="13" t="n">
        <v>160000</v>
      </c>
      <c r="E50" s="11" t="n"/>
      <c r="F50" s="11" t="n"/>
      <c r="G50" s="13" t="n"/>
      <c r="H50" s="13">
        <f>IFERROR(IF(G50&lt;&gt;"",G50,D50)*1.2,"")</f>
        <v>192000.0</v>
      </c>
      <c r="I50" s="14">
        <f>IFERROR((G50-D50)/D50,"")</f>
        <v/>
      </c>
      <c r="J50" s="13" t="n"/>
      <c r="K50" s="14">
        <f>IFERROR(J50/G50,"")</f>
        <v/>
      </c>
      <c r="L50" s="11" t="inlineStr">
        <is>
          <t>£161000</t>
        </is>
      </c>
      <c r="M50" s="11" t="inlineStr">
        <is>
          <t>Serco region - VERIFY</t>
        </is>
      </c>
      <c r="N50" s="11" t="inlineStr">
        <is>
          <t>Not in October catalogue</t>
        </is>
      </c>
      <c r="O50" s="11" t="inlineStr">
        <is>
          <t>postcode not in catalogue</t>
        </is>
      </c>
    </row>
    <row r="51">
      <c r="A51" s="11" t="inlineStr">
        <is>
          <t>103</t>
        </is>
      </c>
      <c r="B51" s="12" t="inlineStr">
        <is>
          <t>71 Fakes Road, Hemsby, Great Yarmouth, Norfolk, NR29 4JL</t>
        </is>
      </c>
      <c r="C51" s="11" t="inlineStr">
        <is>
          <t>£160000+</t>
        </is>
      </c>
      <c r="D51" s="13" t="n">
        <v>160000</v>
      </c>
      <c r="E51" s="11" t="n"/>
      <c r="F51" s="11" t="n"/>
      <c r="G51" s="13" t="n"/>
      <c r="H51" s="13">
        <f>IFERROR(IF(G51&lt;&gt;"",G51,D51)*1.2,"")</f>
        <v>192000.0</v>
      </c>
      <c r="I51" s="14">
        <f>IFERROR((G51-D51)/D51,"")</f>
        <v/>
      </c>
      <c r="J51" s="13" t="n"/>
      <c r="K51" s="14">
        <f>IFERROR(J51/G51,"")</f>
        <v/>
      </c>
      <c r="L51" s="11" t="inlineStr">
        <is>
          <t>£241000</t>
        </is>
      </c>
      <c r="M51" s="11" t="inlineStr">
        <is>
          <t>OPEN</t>
        </is>
      </c>
      <c r="N51" s="11" t="inlineStr">
        <is>
          <t>Not in October catalogue</t>
        </is>
      </c>
      <c r="O51" s="11" t="inlineStr">
        <is>
          <t>postcode not in catalogue</t>
        </is>
      </c>
    </row>
    <row r="52">
      <c r="A52" s="11" t="inlineStr">
        <is>
          <t>85</t>
        </is>
      </c>
      <c r="B52" s="12" t="inlineStr">
        <is>
          <t>Flat 4 Maple Court, 1 Lower Coombe Street, Croydon, Surrey, CR0 1AA</t>
        </is>
      </c>
      <c r="C52" s="11" t="inlineStr">
        <is>
          <t>£150000+</t>
        </is>
      </c>
      <c r="D52" s="13" t="n">
        <v>150000</v>
      </c>
      <c r="E52" s="11" t="n"/>
      <c r="F52" s="11" t="n"/>
      <c r="G52" s="13" t="n"/>
      <c r="H52" s="13">
        <f>IFERROR(IF(G52&lt;&gt;"",G52,D52)*1.2,"")</f>
        <v>180000.0</v>
      </c>
      <c r="I52" s="14">
        <f>IFERROR((G52-D52)/D52,"")</f>
        <v/>
      </c>
      <c r="J52" s="13" t="n"/>
      <c r="K52" s="14">
        <f>IFERROR(J52/G52,"")</f>
        <v/>
      </c>
      <c r="L52" s="11" t="inlineStr">
        <is>
          <t>£248000</t>
        </is>
      </c>
      <c r="M52" s="11" t="inlineStr">
        <is>
          <t>Outside region</t>
        </is>
      </c>
      <c r="N52" s="11" t="inlineStr">
        <is>
          <t>Not in October catalogue</t>
        </is>
      </c>
      <c r="O52" s="11" t="inlineStr">
        <is>
          <t>postcode not in catalogue</t>
        </is>
      </c>
    </row>
    <row r="53">
      <c r="A53" s="11" t="inlineStr">
        <is>
          <t>117</t>
        </is>
      </c>
      <c r="B53" s="12" t="inlineStr">
        <is>
          <t>Flat 3, 9 Queensland Road, Highbury, London, N7 7FH</t>
        </is>
      </c>
      <c r="C53" s="11" t="inlineStr">
        <is>
          <t>£145000+</t>
        </is>
      </c>
      <c r="D53" s="13" t="n">
        <v>145000</v>
      </c>
      <c r="E53" s="11" t="n"/>
      <c r="F53" s="11" t="n"/>
      <c r="G53" s="13" t="n"/>
      <c r="H53" s="13">
        <f>IFERROR(IF(G53&lt;&gt;"",G53,D53)*1.2,"")</f>
        <v>174000.0</v>
      </c>
      <c r="I53" s="14">
        <f>IFERROR((G53-D53)/D53,"")</f>
        <v/>
      </c>
      <c r="J53" s="13" t="n"/>
      <c r="K53" s="14">
        <f>IFERROR(J53/G53,"")</f>
        <v/>
      </c>
      <c r="L53" s="11" t="inlineStr">
        <is>
          <t>£297000</t>
        </is>
      </c>
      <c r="M53" s="11" t="inlineStr">
        <is>
          <t>Outside region</t>
        </is>
      </c>
      <c r="N53" s="11" t="inlineStr">
        <is>
          <t>Not in October catalogue</t>
        </is>
      </c>
      <c r="O53" s="11" t="inlineStr">
        <is>
          <t>postcode not in catalogue</t>
        </is>
      </c>
    </row>
    <row r="54">
      <c r="A54" s="11" t="inlineStr">
        <is>
          <t>65</t>
        </is>
      </c>
      <c r="B54" s="12" t="inlineStr">
        <is>
          <t>102-104 High Street, Redcar, Cleveland, TS10 3DL</t>
        </is>
      </c>
      <c r="C54" s="11" t="inlineStr">
        <is>
          <t>£140000+</t>
        </is>
      </c>
      <c r="D54" s="13" t="n">
        <v>140000</v>
      </c>
      <c r="E54" s="11" t="n"/>
      <c r="F54" s="11" t="n"/>
      <c r="G54" s="13" t="n"/>
      <c r="H54" s="13">
        <f>IFERROR(IF(G54&lt;&gt;"",G54,D54)*1.2,"")</f>
        <v>168000.0</v>
      </c>
      <c r="I54" s="14">
        <f>IFERROR((G54-D54)/D54,"")</f>
        <v/>
      </c>
      <c r="J54" s="13" t="n"/>
      <c r="K54" s="14">
        <f>IFERROR(J54/G54,"")</f>
        <v/>
      </c>
      <c r="L54" s="11" t="inlineStr">
        <is>
          <t>£82000</t>
        </is>
      </c>
      <c r="M54" s="11" t="inlineStr">
        <is>
          <t>Outside region</t>
        </is>
      </c>
      <c r="N54" s="11" t="inlineStr">
        <is>
          <t>Not in October catalogue</t>
        </is>
      </c>
      <c r="O54" s="11" t="inlineStr">
        <is>
          <t>postcode not in catalogue</t>
        </is>
      </c>
    </row>
    <row r="55">
      <c r="A55" s="11" t="inlineStr">
        <is>
          <t>81</t>
        </is>
      </c>
      <c r="B55" s="12" t="inlineStr">
        <is>
          <t>1 Hunter House, Hunter Road, Guildford, Surrey, GU1 3LQ</t>
        </is>
      </c>
      <c r="C55" s="11" t="inlineStr">
        <is>
          <t>£140000+</t>
        </is>
      </c>
      <c r="D55" s="13" t="n">
        <v>140000</v>
      </c>
      <c r="E55" s="11" t="n"/>
      <c r="F55" s="11" t="n"/>
      <c r="G55" s="13" t="n"/>
      <c r="H55" s="13">
        <f>IFERROR(IF(G55&lt;&gt;"",G55,D55)*1.2,"")</f>
        <v>168000.0</v>
      </c>
      <c r="I55" s="14">
        <f>IFERROR((G55-D55)/D55,"")</f>
        <v/>
      </c>
      <c r="J55" s="13" t="n">
        <v>160000</v>
      </c>
      <c r="K55" s="14">
        <f>IFERROR(J55/G55,"")</f>
        <v/>
      </c>
      <c r="L55" s="11" t="inlineStr">
        <is>
          <t>£337000</t>
        </is>
      </c>
      <c r="M55" s="11" t="inlineStr">
        <is>
          <t>Outside region</t>
        </is>
      </c>
      <c r="N55" s="11" t="inlineStr">
        <is>
          <t>Not in October catalogue</t>
        </is>
      </c>
      <c r="O55" s="11" t="inlineStr">
        <is>
          <t>postcode not in catalogue</t>
        </is>
      </c>
    </row>
    <row r="56">
      <c r="A56" s="11" t="inlineStr">
        <is>
          <t>59</t>
        </is>
      </c>
      <c r="B56" s="12" t="inlineStr">
        <is>
          <t>Land on the North-East side of Looe Gardens, Ilford, Essex, IG6 2BJ</t>
        </is>
      </c>
      <c r="C56" s="11" t="inlineStr">
        <is>
          <t>£135000+</t>
        </is>
      </c>
      <c r="D56" s="13" t="n">
        <v>135000</v>
      </c>
      <c r="E56" s="11" t="n"/>
      <c r="F56" s="11" t="n"/>
      <c r="G56" s="13" t="n"/>
      <c r="H56" s="13">
        <f>IFERROR(IF(G56&lt;&gt;"",G56,D56)*1.2,"")</f>
        <v>162000.0</v>
      </c>
      <c r="I56" s="14">
        <f>IFERROR((G56-D56)/D56,"")</f>
        <v/>
      </c>
      <c r="J56" s="13" t="n"/>
      <c r="K56" s="14">
        <f>IFERROR(J56/G56,"")</f>
        <v/>
      </c>
      <c r="L56" s="11" t="inlineStr">
        <is>
          <t>N/A - land</t>
        </is>
      </c>
      <c r="M56" s="11" t="inlineStr">
        <is>
          <t>Outside region</t>
        </is>
      </c>
      <c r="N56" s="11" t="inlineStr">
        <is>
          <t>Not in October catalogue</t>
        </is>
      </c>
      <c r="O56" s="11" t="inlineStr">
        <is>
          <t>postcode not in catalogue</t>
        </is>
      </c>
    </row>
    <row r="57">
      <c r="A57" s="11" t="inlineStr">
        <is>
          <t>48</t>
        </is>
      </c>
      <c r="B57" s="12" t="inlineStr">
        <is>
          <t>30 Ancton Way, Bognor Regis, West Sussex, PO22 6JW</t>
        </is>
      </c>
      <c r="C57" s="11" t="inlineStr">
        <is>
          <t>£130000+</t>
        </is>
      </c>
      <c r="D57" s="13" t="n">
        <v>130000</v>
      </c>
      <c r="E57" s="11" t="n"/>
      <c r="F57" s="11" t="n"/>
      <c r="G57" s="13" t="n"/>
      <c r="H57" s="13">
        <f>IFERROR(IF(G57&lt;&gt;"",G57,D57)*1.2,"")</f>
        <v>156000.0</v>
      </c>
      <c r="I57" s="14">
        <f>IFERROR((G57-D57)/D57,"")</f>
        <v/>
      </c>
      <c r="J57" s="13" t="n"/>
      <c r="K57" s="14">
        <f>IFERROR(J57/G57,"")</f>
        <v/>
      </c>
      <c r="L57" s="11" t="inlineStr">
        <is>
          <t>£186000</t>
        </is>
      </c>
      <c r="M57" s="11" t="inlineStr">
        <is>
          <t>Outside region</t>
        </is>
      </c>
      <c r="N57" s="11" t="inlineStr">
        <is>
          <t>Not in October catalogue</t>
        </is>
      </c>
      <c r="O57" s="11" t="inlineStr">
        <is>
          <t>postcode not in catalogue</t>
        </is>
      </c>
    </row>
    <row r="58">
      <c r="A58" s="11" t="inlineStr">
        <is>
          <t>102</t>
        </is>
      </c>
      <c r="B58" s="12" t="inlineStr">
        <is>
          <t>3 Dane Court, College House, St Albans, Hertfordshire, AL1 5NX</t>
        </is>
      </c>
      <c r="C58" s="11" t="inlineStr">
        <is>
          <t>£110000+</t>
        </is>
      </c>
      <c r="D58" s="13" t="n">
        <v>110000</v>
      </c>
      <c r="E58" s="11" t="n"/>
      <c r="F58" s="11" t="n"/>
      <c r="G58" s="13" t="n"/>
      <c r="H58" s="13">
        <f>IFERROR(IF(G58&lt;&gt;"",G58,D58)*1.2,"")</f>
        <v>132000.0</v>
      </c>
      <c r="I58" s="14">
        <f>IFERROR((G58-D58)/D58,"")</f>
        <v/>
      </c>
      <c r="J58" s="13" t="n"/>
      <c r="K58" s="14">
        <f>IFERROR(J58/G58,"")</f>
        <v/>
      </c>
      <c r="L58" s="11" t="inlineStr">
        <is>
          <t>£174000</t>
        </is>
      </c>
      <c r="M58" s="11" t="inlineStr">
        <is>
          <t>Not on Serco list - VERIFY</t>
        </is>
      </c>
      <c r="N58" s="11" t="inlineStr">
        <is>
          <t>Not in October catalogue</t>
        </is>
      </c>
      <c r="O58" s="11" t="inlineStr">
        <is>
          <t>postcode not in catalogue</t>
        </is>
      </c>
    </row>
    <row r="59">
      <c r="A59" s="11" t="inlineStr">
        <is>
          <t>37</t>
        </is>
      </c>
      <c r="B59" s="12" t="inlineStr">
        <is>
          <t>37 and 37A Trevenson Street, Camborne, Cornwall, TR14 8JD</t>
        </is>
      </c>
      <c r="C59" s="11" t="inlineStr">
        <is>
          <t>£100000+</t>
        </is>
      </c>
      <c r="D59" s="13" t="n">
        <v>100000</v>
      </c>
      <c r="E59" s="11" t="n"/>
      <c r="F59" s="11" t="n"/>
      <c r="G59" s="13" t="n"/>
      <c r="H59" s="13">
        <f>IFERROR(IF(G59&lt;&gt;"",G59,D59)*1.2,"")</f>
        <v>120000.0</v>
      </c>
      <c r="I59" s="14">
        <f>IFERROR((G59-D59)/D59,"")</f>
        <v/>
      </c>
      <c r="J59" s="13" t="n"/>
      <c r="K59" s="14">
        <f>IFERROR(J59/G59,"")</f>
        <v/>
      </c>
      <c r="L59" s="11" t="inlineStr">
        <is>
          <t>£122000</t>
        </is>
      </c>
      <c r="M59" s="11" t="inlineStr">
        <is>
          <t>Outside region</t>
        </is>
      </c>
      <c r="N59" s="11" t="inlineStr">
        <is>
          <t>Not in October catalogue</t>
        </is>
      </c>
      <c r="O59" s="11" t="inlineStr">
        <is>
          <t>postcode not in catalogue</t>
        </is>
      </c>
    </row>
    <row r="60">
      <c r="A60" s="11" t="inlineStr">
        <is>
          <t>105A</t>
        </is>
      </c>
      <c r="B60" s="12" t="inlineStr">
        <is>
          <t>The Bungalow, 1 Chapel Lane, Maidford, Towcester, Northamptonshire, NN12 8HU</t>
        </is>
      </c>
      <c r="C60" s="11" t="inlineStr">
        <is>
          <t>£100000+</t>
        </is>
      </c>
      <c r="D60" s="13" t="n">
        <v>100000</v>
      </c>
      <c r="E60" s="11" t="n"/>
      <c r="F60" s="11" t="n"/>
      <c r="G60" s="13" t="n"/>
      <c r="H60" s="13">
        <f>IFERROR(IF(G60&lt;&gt;"",G60,D60)*1.2,"")</f>
        <v>120000.0</v>
      </c>
      <c r="I60" s="14">
        <f>IFERROR((G60-D60)/D60,"")</f>
        <v/>
      </c>
      <c r="J60" s="13" t="n">
        <v>110000</v>
      </c>
      <c r="K60" s="14">
        <f>IFERROR(J60/G60,"")</f>
        <v/>
      </c>
      <c r="L60" s="11" t="inlineStr">
        <is>
          <t>£302000</t>
        </is>
      </c>
      <c r="M60" s="11" t="inlineStr">
        <is>
          <t>Serco region - VERIFY</t>
        </is>
      </c>
      <c r="N60" s="11" t="inlineStr">
        <is>
          <t>Not in October catalogue</t>
        </is>
      </c>
      <c r="O60" s="11" t="inlineStr">
        <is>
          <t>postcode not in catalogue</t>
        </is>
      </c>
    </row>
    <row r="61">
      <c r="A61" s="11" t="inlineStr">
        <is>
          <t>115A</t>
        </is>
      </c>
      <c r="B61" s="12" t="inlineStr">
        <is>
          <t>27 West Road, Shoeburyness, Southend-on-Sea, Essex, SS3 9DR</t>
        </is>
      </c>
      <c r="C61" s="11" t="inlineStr">
        <is>
          <t>£100000+</t>
        </is>
      </c>
      <c r="D61" s="13" t="n">
        <v>100000</v>
      </c>
      <c r="E61" s="11" t="n"/>
      <c r="F61" s="11" t="n"/>
      <c r="G61" s="13" t="n"/>
      <c r="H61" s="13">
        <f>IFERROR(IF(G61&lt;&gt;"",G61,D61)*1.2,"")</f>
        <v>120000.0</v>
      </c>
      <c r="I61" s="14">
        <f>IFERROR((G61-D61)/D61,"")</f>
        <v/>
      </c>
      <c r="J61" s="13" t="n">
        <v>110000</v>
      </c>
      <c r="K61" s="14">
        <f>IFERROR(J61/G61,"")</f>
        <v/>
      </c>
      <c r="L61" s="11" t="inlineStr">
        <is>
          <t>£218000</t>
        </is>
      </c>
      <c r="M61" s="11" t="inlineStr">
        <is>
          <t>Serco region - VERIFY</t>
        </is>
      </c>
      <c r="N61" s="11" t="inlineStr">
        <is>
          <t>Not in October catalogue</t>
        </is>
      </c>
      <c r="O61" s="11" t="inlineStr">
        <is>
          <t>postcode not in catalogue</t>
        </is>
      </c>
    </row>
    <row r="62">
      <c r="A62" s="11" t="inlineStr">
        <is>
          <t>61</t>
        </is>
      </c>
      <c r="B62" s="12" t="inlineStr">
        <is>
          <t>Unit SU8, 5 Jubilee Way, Scunthorpe, North Lincolnshire, DN15 6RB</t>
        </is>
      </c>
      <c r="C62" s="11" t="inlineStr">
        <is>
          <t>£95000+</t>
        </is>
      </c>
      <c r="D62" s="13" t="n">
        <v>95000</v>
      </c>
      <c r="E62" s="11" t="n"/>
      <c r="F62" s="11" t="n"/>
      <c r="G62" s="13" t="n"/>
      <c r="H62" s="13">
        <f>IFERROR(IF(G62&lt;&gt;"",G62,D62)*1.2,"")</f>
        <v>114000.0</v>
      </c>
      <c r="I62" s="14">
        <f>IFERROR((G62-D62)/D62,"")</f>
        <v/>
      </c>
      <c r="J62" s="13" t="n"/>
      <c r="K62" s="14">
        <f>IFERROR(J62/G62,"")</f>
        <v/>
      </c>
      <c r="L62" s="11" t="inlineStr">
        <is>
          <t>N/A - retail</t>
        </is>
      </c>
      <c r="M62" s="11" t="inlineStr">
        <is>
          <t>Not on Serco list</t>
        </is>
      </c>
      <c r="N62" s="11" t="inlineStr">
        <is>
          <t>Not in October catalogue</t>
        </is>
      </c>
      <c r="O62" s="11" t="inlineStr">
        <is>
          <t>postcode not in catalogue</t>
        </is>
      </c>
    </row>
    <row r="63">
      <c r="A63" s="11" t="inlineStr">
        <is>
          <t>62</t>
        </is>
      </c>
      <c r="B63" s="12" t="inlineStr">
        <is>
          <t>9 College Walk, Rotherham, South Yorkshire, S60 1QB</t>
        </is>
      </c>
      <c r="C63" s="11" t="inlineStr">
        <is>
          <t>£95000+</t>
        </is>
      </c>
      <c r="D63" s="13" t="n">
        <v>95000</v>
      </c>
      <c r="E63" s="11" t="n"/>
      <c r="F63" s="11" t="n"/>
      <c r="G63" s="13" t="n"/>
      <c r="H63" s="13">
        <f>IFERROR(IF(G63&lt;&gt;"",G63,D63)*1.2,"")</f>
        <v>114000.0</v>
      </c>
      <c r="I63" s="14">
        <f>IFERROR((G63-D63)/D63,"")</f>
        <v/>
      </c>
      <c r="J63" s="13" t="n"/>
      <c r="K63" s="14">
        <f>IFERROR(J63/G63,"")</f>
        <v/>
      </c>
      <c r="L63" s="11" t="inlineStr">
        <is>
          <t>N/A - retail</t>
        </is>
      </c>
      <c r="M63" s="11" t="inlineStr">
        <is>
          <t>Outside region</t>
        </is>
      </c>
      <c r="N63" s="11" t="inlineStr">
        <is>
          <t>Not in October catalogue</t>
        </is>
      </c>
      <c r="O63" s="11" t="inlineStr">
        <is>
          <t>postcode not in catalogue</t>
        </is>
      </c>
    </row>
    <row r="64">
      <c r="A64" s="11" t="inlineStr">
        <is>
          <t>70A</t>
        </is>
      </c>
      <c r="B64" s="12" t="inlineStr">
        <is>
          <t>94A Middleton Grange Shopping Centre, Hartlepool, Cleveland, TS24 7RW</t>
        </is>
      </c>
      <c r="C64" s="11" t="inlineStr">
        <is>
          <t>£95000+</t>
        </is>
      </c>
      <c r="D64" s="13" t="n">
        <v>95000</v>
      </c>
      <c r="E64" s="11" t="n"/>
      <c r="F64" s="11" t="n"/>
      <c r="G64" s="13" t="n"/>
      <c r="H64" s="13">
        <f>IFERROR(IF(G64&lt;&gt;"",G64,D64)*1.2,"")</f>
        <v>114000.0</v>
      </c>
      <c r="I64" s="14">
        <f>IFERROR((G64-D64)/D64,"")</f>
        <v/>
      </c>
      <c r="J64" s="13" t="n"/>
      <c r="K64" s="14">
        <f>IFERROR(J64/G64,"")</f>
        <v/>
      </c>
      <c r="L64" s="11" t="inlineStr">
        <is>
          <t>N/A - retail</t>
        </is>
      </c>
      <c r="M64" s="11" t="inlineStr">
        <is>
          <t>Outside region</t>
        </is>
      </c>
      <c r="N64" s="11" t="inlineStr">
        <is>
          <t>Not in October catalogue</t>
        </is>
      </c>
      <c r="O64" s="11" t="inlineStr">
        <is>
          <t>postcode not in catalogue</t>
        </is>
      </c>
    </row>
    <row r="65">
      <c r="A65" s="11" t="inlineStr">
        <is>
          <t>105</t>
        </is>
      </c>
      <c r="B65" s="12" t="inlineStr">
        <is>
          <t>2 Garfield Street, Northampton, Northamptonshire, NN2 6NW</t>
        </is>
      </c>
      <c r="C65" s="11" t="inlineStr">
        <is>
          <t>£95000-£145000</t>
        </is>
      </c>
      <c r="D65" s="13" t="n">
        <v>95000</v>
      </c>
      <c r="E65" s="11" t="n"/>
      <c r="F65" s="11" t="n"/>
      <c r="G65" s="13" t="n"/>
      <c r="H65" s="13">
        <f>IFERROR(IF(G65&lt;&gt;"",G65,D65)*1.2,"")</f>
        <v>114000.0</v>
      </c>
      <c r="I65" s="14">
        <f>IFERROR((G65-D65)/D65,"")</f>
        <v/>
      </c>
      <c r="J65" s="13" t="n">
        <v>145000</v>
      </c>
      <c r="K65" s="14">
        <f>IFERROR(J65/G65,"")</f>
        <v/>
      </c>
      <c r="L65" s="11" t="inlineStr">
        <is>
          <t>£250000</t>
        </is>
      </c>
      <c r="M65" s="11" t="inlineStr">
        <is>
          <t>Serco region - VERIFY</t>
        </is>
      </c>
      <c r="N65" s="11" t="inlineStr">
        <is>
          <t>Not in October catalogue</t>
        </is>
      </c>
      <c r="O65" s="11" t="inlineStr">
        <is>
          <t>postcode not in catalogue</t>
        </is>
      </c>
    </row>
    <row r="66">
      <c r="A66" s="11" t="inlineStr">
        <is>
          <t>111</t>
        </is>
      </c>
      <c r="B66" s="12" t="inlineStr">
        <is>
          <t>29A High Street, March, Cambridgeshire, PE15 0XA</t>
        </is>
      </c>
      <c r="C66" s="11" t="inlineStr">
        <is>
          <t>£95000+</t>
        </is>
      </c>
      <c r="D66" s="13" t="n">
        <v>95000</v>
      </c>
      <c r="E66" s="11" t="n"/>
      <c r="F66" s="11" t="n"/>
      <c r="G66" s="13" t="n"/>
      <c r="H66" s="13">
        <f>IFERROR(IF(G66&lt;&gt;"",G66,D66)*1.2,"")</f>
        <v>114000.0</v>
      </c>
      <c r="I66" s="14">
        <f>IFERROR((G66-D66)/D66,"")</f>
        <v/>
      </c>
      <c r="J66" s="13" t="n"/>
      <c r="K66" s="14">
        <f>IFERROR(J66/G66,"")</f>
        <v/>
      </c>
      <c r="L66" s="11" t="inlineStr">
        <is>
          <t>£178000</t>
        </is>
      </c>
      <c r="M66" s="11" t="inlineStr">
        <is>
          <t>OPEN</t>
        </is>
      </c>
      <c r="N66" s="11" t="inlineStr">
        <is>
          <t>Not in October catalogue</t>
        </is>
      </c>
      <c r="O66" s="11" t="inlineStr">
        <is>
          <t>postcode not in catalogue</t>
        </is>
      </c>
    </row>
    <row r="67">
      <c r="A67" s="11" t="inlineStr">
        <is>
          <t>152</t>
        </is>
      </c>
      <c r="B67" s="12" t="inlineStr">
        <is>
          <t>Flat 2, 201 Waldegrave Road, Teddington, Richmond upon Thames, TW11 8LX</t>
        </is>
      </c>
      <c r="C67" s="11" t="inlineStr">
        <is>
          <t>£95000+</t>
        </is>
      </c>
      <c r="D67" s="13" t="n">
        <v>95000</v>
      </c>
      <c r="E67" s="11" t="n"/>
      <c r="F67" s="11" t="n"/>
      <c r="G67" s="13" t="n"/>
      <c r="H67" s="13">
        <f>IFERROR(IF(G67&lt;&gt;"",G67,D67)*1.2,"")</f>
        <v>114000.0</v>
      </c>
      <c r="I67" s="14">
        <f>IFERROR((G67-D67)/D67,"")</f>
        <v/>
      </c>
      <c r="J67" s="13" t="n"/>
      <c r="K67" s="14">
        <f>IFERROR(J67/G67,"")</f>
        <v/>
      </c>
      <c r="L67" s="11" t="inlineStr">
        <is>
          <t>£362000</t>
        </is>
      </c>
      <c r="M67" s="11" t="inlineStr">
        <is>
          <t>Outside region</t>
        </is>
      </c>
      <c r="N67" s="11" t="inlineStr">
        <is>
          <t>Not in October catalogue</t>
        </is>
      </c>
      <c r="O67" s="11" t="inlineStr">
        <is>
          <t>postcode not in catalogue</t>
        </is>
      </c>
    </row>
    <row r="68">
      <c r="A68" s="11" t="inlineStr">
        <is>
          <t>82</t>
        </is>
      </c>
      <c r="B68" s="12" t="inlineStr">
        <is>
          <t>Apartment 43, 18 Church Street, Manchester, Lancashire, M4 1PN</t>
        </is>
      </c>
      <c r="C68" s="11" t="inlineStr">
        <is>
          <t>£90000+</t>
        </is>
      </c>
      <c r="D68" s="13" t="n">
        <v>90000</v>
      </c>
      <c r="E68" s="11" t="n"/>
      <c r="F68" s="11" t="n"/>
      <c r="G68" s="13" t="n"/>
      <c r="H68" s="13">
        <f>IFERROR(IF(G68&lt;&gt;"",G68,D68)*1.2,"")</f>
        <v>108000.0</v>
      </c>
      <c r="I68" s="14">
        <f>IFERROR((G68-D68)/D68,"")</f>
        <v/>
      </c>
      <c r="J68" s="13" t="n">
        <v>120000</v>
      </c>
      <c r="K68" s="14">
        <f>IFERROR(J68/G68,"")</f>
        <v/>
      </c>
      <c r="L68" s="11" t="inlineStr">
        <is>
          <t>£193000</t>
        </is>
      </c>
      <c r="M68" s="11" t="inlineStr">
        <is>
          <t>CLOSED + NW paused</t>
        </is>
      </c>
      <c r="N68" s="11" t="inlineStr">
        <is>
          <t>Not in October catalogue</t>
        </is>
      </c>
      <c r="O68" s="11" t="inlineStr">
        <is>
          <t>postcode not in catalogue</t>
        </is>
      </c>
    </row>
    <row r="69">
      <c r="A69" s="11" t="inlineStr">
        <is>
          <t>63</t>
        </is>
      </c>
      <c r="B69" s="12" t="inlineStr">
        <is>
          <t>29 Hervey Street, Lowestoft, Suffolk, NR32 2JG</t>
        </is>
      </c>
      <c r="C69" s="11" t="inlineStr">
        <is>
          <t>£75000+</t>
        </is>
      </c>
      <c r="D69" s="13" t="n">
        <v>75000</v>
      </c>
      <c r="E69" s="11" t="n"/>
      <c r="F69" s="11" t="n"/>
      <c r="G69" s="13" t="n"/>
      <c r="H69" s="13">
        <f>IFERROR(IF(G69&lt;&gt;"",G69,D69)*1.2,"")</f>
        <v>90000.0</v>
      </c>
      <c r="I69" s="14">
        <f>IFERROR((G69-D69)/D69,"")</f>
        <v/>
      </c>
      <c r="J69" s="13" t="n">
        <v>75000</v>
      </c>
      <c r="K69" s="14">
        <f>IFERROR(J69/G69,"")</f>
        <v/>
      </c>
      <c r="L69" s="11" t="inlineStr">
        <is>
          <t>£153000</t>
        </is>
      </c>
      <c r="M69" s="11" t="inlineStr">
        <is>
          <t>OPEN</t>
        </is>
      </c>
      <c r="N69" s="11" t="inlineStr">
        <is>
          <t>Not in October catalogue</t>
        </is>
      </c>
      <c r="O69" s="11" t="inlineStr">
        <is>
          <t>postcode not in catalogue</t>
        </is>
      </c>
    </row>
    <row r="70">
      <c r="A70" s="11" t="inlineStr">
        <is>
          <t>100</t>
        </is>
      </c>
      <c r="B70" s="12" t="inlineStr">
        <is>
          <t>36 Hobart Road, Weston-super-Mare, Avon, BS23 4QN</t>
        </is>
      </c>
      <c r="C70" s="11" t="inlineStr">
        <is>
          <t>£70000-£115000</t>
        </is>
      </c>
      <c r="D70" s="13" t="n">
        <v>70000</v>
      </c>
      <c r="E70" s="11" t="n"/>
      <c r="F70" s="11" t="n"/>
      <c r="G70" s="13" t="n"/>
      <c r="H70" s="13">
        <f>IFERROR(IF(G70&lt;&gt;"",G70,D70)*1.2,"")</f>
        <v>84000.0</v>
      </c>
      <c r="I70" s="14">
        <f>IFERROR((G70-D70)/D70,"")</f>
        <v/>
      </c>
      <c r="J70" s="13" t="n">
        <v>115000</v>
      </c>
      <c r="K70" s="14">
        <f>IFERROR(J70/G70,"")</f>
        <v/>
      </c>
      <c r="L70" s="11" t="inlineStr">
        <is>
          <t>£129000</t>
        </is>
      </c>
      <c r="M70" s="11" t="inlineStr">
        <is>
          <t>Outside region</t>
        </is>
      </c>
      <c r="N70" s="11" t="inlineStr">
        <is>
          <t>Not in October catalogue</t>
        </is>
      </c>
      <c r="O70" s="11" t="inlineStr">
        <is>
          <t>postcode not in catalogue</t>
        </is>
      </c>
    </row>
    <row r="71">
      <c r="A71" s="11" t="inlineStr">
        <is>
          <t>22</t>
        </is>
      </c>
      <c r="B71" s="12" t="inlineStr">
        <is>
          <t>4 Nairn Court, Dock Road, Tilbury, Essex, RM18 7BY</t>
        </is>
      </c>
      <c r="C71" s="11" t="inlineStr">
        <is>
          <t>£60000+</t>
        </is>
      </c>
      <c r="D71" s="13" t="n">
        <v>60000</v>
      </c>
      <c r="E71" s="11" t="n"/>
      <c r="F71" s="11" t="n"/>
      <c r="G71" s="13" t="n"/>
      <c r="H71" s="13">
        <f>IFERROR(IF(G71&lt;&gt;"",G71,D71)*1.2,"")</f>
        <v>72000.0</v>
      </c>
      <c r="I71" s="14">
        <f>IFERROR((G71-D71)/D71,"")</f>
        <v/>
      </c>
      <c r="J71" s="13" t="n">
        <v>75000</v>
      </c>
      <c r="K71" s="14">
        <f>IFERROR(J71/G71,"")</f>
        <v/>
      </c>
      <c r="L71" s="11" t="inlineStr">
        <is>
          <t>£149000</t>
        </is>
      </c>
      <c r="M71" s="11" t="inlineStr">
        <is>
          <t>Not on Serco list</t>
        </is>
      </c>
      <c r="N71" s="11" t="inlineStr">
        <is>
          <t>Not in October catalogue</t>
        </is>
      </c>
      <c r="O71" s="11" t="inlineStr">
        <is>
          <t>postcode not in catalogue</t>
        </is>
      </c>
    </row>
    <row r="72">
      <c r="A72" s="11" t="inlineStr">
        <is>
          <t>69</t>
        </is>
      </c>
      <c r="B72" s="12" t="inlineStr">
        <is>
          <t>9A Battle Hill, Hexham, Northumberland, NE46 1BA</t>
        </is>
      </c>
      <c r="C72" s="11" t="inlineStr">
        <is>
          <t>£50000-£75000</t>
        </is>
      </c>
      <c r="D72" s="13" t="n">
        <v>50000</v>
      </c>
      <c r="E72" s="11" t="n"/>
      <c r="F72" s="11" t="n"/>
      <c r="G72" s="13" t="n"/>
      <c r="H72" s="13">
        <f>IFERROR(IF(G72&lt;&gt;"",G72,D72)*1.2,"")</f>
        <v>60000.0</v>
      </c>
      <c r="I72" s="14">
        <f>IFERROR((G72-D72)/D72,"")</f>
        <v/>
      </c>
      <c r="J72" s="13" t="n"/>
      <c r="K72" s="14">
        <f>IFERROR(J72/G72,"")</f>
        <v/>
      </c>
      <c r="L72" s="11" t="inlineStr">
        <is>
          <t>N/A</t>
        </is>
      </c>
      <c r="M72" s="11" t="inlineStr">
        <is>
          <t>Outside region</t>
        </is>
      </c>
      <c r="N72" s="11" t="inlineStr">
        <is>
          <t>Not in October catalogue</t>
        </is>
      </c>
      <c r="O72" s="11" t="inlineStr">
        <is>
          <t>postcode not in catalogue</t>
        </is>
      </c>
    </row>
    <row r="73">
      <c r="A73" s="11" t="inlineStr">
        <is>
          <t>73</t>
        </is>
      </c>
      <c r="B73" s="12" t="inlineStr">
        <is>
          <t>106 High Street, Redcar, Cleveland, TS10 3DL</t>
        </is>
      </c>
      <c r="C73" s="11" t="inlineStr">
        <is>
          <t>£50000-£80000</t>
        </is>
      </c>
      <c r="D73" s="13" t="n">
        <v>50000</v>
      </c>
      <c r="E73" s="11" t="n"/>
      <c r="F73" s="11" t="n"/>
      <c r="G73" s="13" t="n"/>
      <c r="H73" s="13">
        <f>IFERROR(IF(G73&lt;&gt;"",G73,D73)*1.2,"")</f>
        <v>60000.0</v>
      </c>
      <c r="I73" s="14">
        <f>IFERROR((G73-D73)/D73,"")</f>
        <v/>
      </c>
      <c r="J73" s="13" t="n"/>
      <c r="K73" s="14">
        <f>IFERROR(J73/G73,"")</f>
        <v/>
      </c>
      <c r="L73" s="11" t="inlineStr">
        <is>
          <t>£82000</t>
        </is>
      </c>
      <c r="M73" s="11" t="inlineStr">
        <is>
          <t>Outside region</t>
        </is>
      </c>
      <c r="N73" s="11" t="inlineStr">
        <is>
          <t>Not in October catalogue</t>
        </is>
      </c>
      <c r="O73" s="11" t="inlineStr">
        <is>
          <t>postcode not in catalogue</t>
        </is>
      </c>
    </row>
    <row r="74">
      <c r="A74" s="11" t="inlineStr">
        <is>
          <t>90</t>
        </is>
      </c>
      <c r="B74" s="12" t="inlineStr">
        <is>
          <t>The Vaults, Manor Road, Chatham, Kent, ME4 6HW</t>
        </is>
      </c>
      <c r="C74" s="11" t="inlineStr">
        <is>
          <t>£50000-£110000</t>
        </is>
      </c>
      <c r="D74" s="13" t="n">
        <v>50000</v>
      </c>
      <c r="E74" s="11" t="n"/>
      <c r="F74" s="11" t="n"/>
      <c r="G74" s="13" t="n"/>
      <c r="H74" s="13">
        <f>IFERROR(IF(G74&lt;&gt;"",G74,D74)*1.2,"")</f>
        <v>60000.0</v>
      </c>
      <c r="I74" s="14">
        <f>IFERROR((G74-D74)/D74,"")</f>
        <v/>
      </c>
      <c r="J74" s="13" t="n">
        <v>175000</v>
      </c>
      <c r="K74" s="14">
        <f>IFERROR(J74/G74,"")</f>
        <v/>
      </c>
      <c r="L74" s="11" t="inlineStr">
        <is>
          <t>£379000</t>
        </is>
      </c>
      <c r="M74" s="11" t="inlineStr">
        <is>
          <t>Outside region</t>
        </is>
      </c>
      <c r="N74" s="11" t="inlineStr">
        <is>
          <t>Not in October catalogue</t>
        </is>
      </c>
      <c r="O74" s="11" t="inlineStr">
        <is>
          <t>postcode not in catalogue</t>
        </is>
      </c>
    </row>
    <row r="75">
      <c r="A75" s="11" t="inlineStr">
        <is>
          <t>109</t>
        </is>
      </c>
      <c r="B75" s="12" t="inlineStr">
        <is>
          <t>Land to the rear of 21 Greenfield Road, Pulloxhill, Bedford, Bedfordshire, MK45 5EZ</t>
        </is>
      </c>
      <c r="C75" s="11" t="inlineStr">
        <is>
          <t>£50000+</t>
        </is>
      </c>
      <c r="D75" s="13" t="n">
        <v>50000</v>
      </c>
      <c r="E75" s="11" t="n"/>
      <c r="F75" s="11" t="n"/>
      <c r="G75" s="13" t="n"/>
      <c r="H75" s="13">
        <f>IFERROR(IF(G75&lt;&gt;"",G75,D75)*1.2,"")</f>
        <v>60000.0</v>
      </c>
      <c r="I75" s="14">
        <f>IFERROR((G75-D75)/D75,"")</f>
        <v/>
      </c>
      <c r="J75" s="13" t="n"/>
      <c r="K75" s="14">
        <f>IFERROR(J75/G75,"")</f>
        <v/>
      </c>
      <c r="L75" s="11" t="inlineStr">
        <is>
          <t>N/A - land</t>
        </is>
      </c>
      <c r="M75" s="11" t="inlineStr">
        <is>
          <t>Not on Serco list</t>
        </is>
      </c>
      <c r="N75" s="11" t="inlineStr">
        <is>
          <t>Not in October catalogue</t>
        </is>
      </c>
      <c r="O75" s="11" t="inlineStr">
        <is>
          <t>postcode not in catalogue</t>
        </is>
      </c>
    </row>
    <row r="76">
      <c r="A76" s="11" t="inlineStr">
        <is>
          <t>163</t>
        </is>
      </c>
      <c r="B76" s="12" t="inlineStr">
        <is>
          <t>Flat 3, 55 West Avenue, Filey, North Yorkshire, YO14 9AX</t>
        </is>
      </c>
      <c r="C76" s="11" t="inlineStr">
        <is>
          <t>£50000+</t>
        </is>
      </c>
      <c r="D76" s="13" t="n">
        <v>50000</v>
      </c>
      <c r="E76" s="11" t="n"/>
      <c r="F76" s="11" t="n"/>
      <c r="G76" s="13" t="n"/>
      <c r="H76" s="13">
        <f>IFERROR(IF(G76&lt;&gt;"",G76,D76)*1.2,"")</f>
        <v>60000.0</v>
      </c>
      <c r="I76" s="14">
        <f>IFERROR((G76-D76)/D76,"")</f>
        <v/>
      </c>
      <c r="J76" s="13" t="n">
        <v>55000</v>
      </c>
      <c r="K76" s="14">
        <f>IFERROR(J76/G76,"")</f>
        <v/>
      </c>
      <c r="L76" s="11" t="inlineStr">
        <is>
          <t>£130000</t>
        </is>
      </c>
      <c r="M76" s="11" t="inlineStr">
        <is>
          <t>Outside region</t>
        </is>
      </c>
      <c r="N76" s="11" t="inlineStr">
        <is>
          <t>Not in October catalogue</t>
        </is>
      </c>
      <c r="O76" s="11" t="inlineStr">
        <is>
          <t>postcode not in catalogue</t>
        </is>
      </c>
    </row>
    <row r="77">
      <c r="A77" s="11" t="inlineStr">
        <is>
          <t>86</t>
        </is>
      </c>
      <c r="B77" s="12" t="inlineStr">
        <is>
          <t>65 Reeves Road, Derby, Derbyshire, DE23 8JF</t>
        </is>
      </c>
      <c r="C77" s="11" t="inlineStr">
        <is>
          <t>£45000+</t>
        </is>
      </c>
      <c r="D77" s="13" t="n">
        <v>45000</v>
      </c>
      <c r="E77" s="11" t="n"/>
      <c r="F77" s="11" t="n"/>
      <c r="G77" s="13" t="n"/>
      <c r="H77" s="13">
        <f>IFERROR(IF(G77&lt;&gt;"",G77,D77)*1.2,"")</f>
        <v>54000.0</v>
      </c>
      <c r="I77" s="14">
        <f>IFERROR((G77-D77)/D77,"")</f>
        <v/>
      </c>
      <c r="J77" s="13" t="n">
        <v>85000</v>
      </c>
      <c r="K77" s="14">
        <f>IFERROR(J77/G77,"")</f>
        <v/>
      </c>
      <c r="L77" s="11" t="inlineStr">
        <is>
          <t>£87500</t>
        </is>
      </c>
      <c r="M77" s="11" t="inlineStr">
        <is>
          <t>Serco region - VERIFY</t>
        </is>
      </c>
      <c r="N77" s="11" t="inlineStr">
        <is>
          <t>Not in October catalogue</t>
        </is>
      </c>
      <c r="O77" s="11" t="inlineStr">
        <is>
          <t>postcode not in catalogue</t>
        </is>
      </c>
    </row>
    <row r="78">
      <c r="A78" s="11" t="inlineStr">
        <is>
          <t>166A</t>
        </is>
      </c>
      <c r="B78" s="12" t="inlineStr">
        <is>
          <t>4 Milburn Street, Crook, County Durham, DL15 9DY</t>
        </is>
      </c>
      <c r="C78" s="11" t="inlineStr">
        <is>
          <t>£40000-£60000</t>
        </is>
      </c>
      <c r="D78" s="13" t="n">
        <v>40000</v>
      </c>
      <c r="E78" s="11" t="n"/>
      <c r="F78" s="11" t="n"/>
      <c r="G78" s="13" t="n"/>
      <c r="H78" s="13">
        <f>IFERROR(IF(G78&lt;&gt;"",G78,D78)*1.2,"")</f>
        <v>48000.0</v>
      </c>
      <c r="I78" s="14">
        <f>IFERROR((G78-D78)/D78,"")</f>
        <v/>
      </c>
      <c r="J78" s="13" t="n">
        <v>60000</v>
      </c>
      <c r="K78" s="14">
        <f>IFERROR(J78/G78,"")</f>
        <v/>
      </c>
      <c r="L78" s="11" t="inlineStr">
        <is>
          <t>£92500</t>
        </is>
      </c>
      <c r="M78" s="11" t="inlineStr">
        <is>
          <t>Outside region</t>
        </is>
      </c>
      <c r="N78" s="11" t="inlineStr">
        <is>
          <t>Not in October catalogue</t>
        </is>
      </c>
      <c r="O78" s="11" t="inlineStr">
        <is>
          <t>postcode not in catalogue</t>
        </is>
      </c>
    </row>
    <row r="79">
      <c r="A79" s="11" t="inlineStr">
        <is>
          <t>165A</t>
        </is>
      </c>
      <c r="B79" s="12" t="inlineStr">
        <is>
          <t>Land to the rear of 141 Parsonage Road, Rainham, Essex, RM13 9LB</t>
        </is>
      </c>
      <c r="C79" s="11" t="inlineStr">
        <is>
          <t>£35000+</t>
        </is>
      </c>
      <c r="D79" s="13" t="n">
        <v>35000</v>
      </c>
      <c r="E79" s="11" t="n"/>
      <c r="F79" s="11" t="n"/>
      <c r="G79" s="13" t="n"/>
      <c r="H79" s="13">
        <f>IFERROR(IF(G79&lt;&gt;"",G79,D79)*1.2,"")</f>
        <v>42000.0</v>
      </c>
      <c r="I79" s="14">
        <f>IFERROR((G79-D79)/D79,"")</f>
        <v/>
      </c>
      <c r="J79" s="13" t="n"/>
      <c r="K79" s="14">
        <f>IFERROR(J79/G79,"")</f>
        <v/>
      </c>
      <c r="L79" s="11" t="inlineStr">
        <is>
          <t>N/A - land</t>
        </is>
      </c>
      <c r="M79" s="11" t="inlineStr">
        <is>
          <t>Outside region</t>
        </is>
      </c>
      <c r="N79" s="11" t="inlineStr">
        <is>
          <t>Not in October catalogue</t>
        </is>
      </c>
      <c r="O79" s="11" t="inlineStr">
        <is>
          <t>postcode not in catalogue</t>
        </is>
      </c>
    </row>
    <row r="80">
      <c r="A80" s="11" t="inlineStr">
        <is>
          <t>101</t>
        </is>
      </c>
      <c r="B80" s="12" t="inlineStr">
        <is>
          <t>49 Exmouth Road, Great Yarmouth, Norfolk, NR30 3DP</t>
        </is>
      </c>
      <c r="C80" s="11" t="inlineStr">
        <is>
          <t>£30000-£55000</t>
        </is>
      </c>
      <c r="D80" s="13" t="n">
        <v>30000</v>
      </c>
      <c r="E80" s="11" t="n"/>
      <c r="F80" s="11" t="n"/>
      <c r="G80" s="13" t="n"/>
      <c r="H80" s="13">
        <f>IFERROR(IF(G80&lt;&gt;"",G80,D80)*1.2,"")</f>
        <v>36000.0</v>
      </c>
      <c r="I80" s="14">
        <f>IFERROR((G80-D80)/D80,"")</f>
        <v/>
      </c>
      <c r="J80" s="13" t="n">
        <v>55000</v>
      </c>
      <c r="K80" s="14">
        <f>IFERROR(J80/G80,"")</f>
        <v/>
      </c>
      <c r="L80" s="11" t="inlineStr">
        <is>
          <t>£81000</t>
        </is>
      </c>
      <c r="M80" s="11" t="inlineStr">
        <is>
          <t>OPEN</t>
        </is>
      </c>
      <c r="N80" s="11" t="inlineStr">
        <is>
          <t>Not in October catalogue</t>
        </is>
      </c>
      <c r="O80" s="11" t="inlineStr">
        <is>
          <t>postcode not in catalogue</t>
        </is>
      </c>
    </row>
    <row r="81">
      <c r="A81" s="11" t="inlineStr">
        <is>
          <t>125A</t>
        </is>
      </c>
      <c r="B81" s="12" t="inlineStr">
        <is>
          <t>34 Murton Lane, Easington Lane, Houghton Le Spring, Tyne and Wear, DH5 0NB</t>
        </is>
      </c>
      <c r="C81" s="11" t="inlineStr">
        <is>
          <t>£30000-£40000</t>
        </is>
      </c>
      <c r="D81" s="13" t="n">
        <v>30000</v>
      </c>
      <c r="E81" s="11" t="n"/>
      <c r="F81" s="11" t="n"/>
      <c r="G81" s="13" t="n"/>
      <c r="H81" s="13">
        <f>IFERROR(IF(G81&lt;&gt;"",G81,D81)*1.2,"")</f>
        <v>36000.0</v>
      </c>
      <c r="I81" s="14">
        <f>IFERROR((G81-D81)/D81,"")</f>
        <v/>
      </c>
      <c r="J81" s="13" t="n"/>
      <c r="K81" s="14">
        <f>IFERROR(J81/G81,"")</f>
        <v/>
      </c>
      <c r="L81" s="11" t="inlineStr">
        <is>
          <t>£40000</t>
        </is>
      </c>
      <c r="M81" s="11" t="inlineStr">
        <is>
          <t>Outside region</t>
        </is>
      </c>
      <c r="N81" s="11" t="inlineStr">
        <is>
          <t>Not in October catalogue</t>
        </is>
      </c>
      <c r="O81" s="11" t="inlineStr">
        <is>
          <t>postcode not in catalogue</t>
        </is>
      </c>
    </row>
    <row r="82">
      <c r="A82" s="11" t="inlineStr">
        <is>
          <t>72</t>
        </is>
      </c>
      <c r="B82" s="12" t="inlineStr">
        <is>
          <t>Rear of 292 Weelsby Street, Grimsby, North East Lincolnshire, DN32 8AB</t>
        </is>
      </c>
      <c r="C82" s="11" t="inlineStr">
        <is>
          <t>£25000-£35000</t>
        </is>
      </c>
      <c r="D82" s="13" t="n">
        <v>25000</v>
      </c>
      <c r="E82" s="11" t="n"/>
      <c r="F82" s="11" t="n"/>
      <c r="G82" s="13" t="n"/>
      <c r="H82" s="13">
        <f>IFERROR(IF(G82&lt;&gt;"",G82,D82)*1.2,"")</f>
        <v>30000.0</v>
      </c>
      <c r="I82" s="14">
        <f>IFERROR((G82-D82)/D82,"")</f>
        <v/>
      </c>
      <c r="J82" s="13" t="n"/>
      <c r="K82" s="14">
        <f>IFERROR(J82/G82,"")</f>
        <v/>
      </c>
      <c r="L82" s="11" t="inlineStr">
        <is>
          <t>N/A - workshop</t>
        </is>
      </c>
      <c r="M82" s="11" t="inlineStr">
        <is>
          <t>Not on Serco list</t>
        </is>
      </c>
      <c r="N82" s="11" t="inlineStr">
        <is>
          <t>Not in October catalogue</t>
        </is>
      </c>
      <c r="O82" s="11" t="inlineStr">
        <is>
          <t>postcode not in catalogue</t>
        </is>
      </c>
    </row>
    <row r="83">
      <c r="A83" s="11" t="inlineStr">
        <is>
          <t>76</t>
        </is>
      </c>
      <c r="B83" s="12" t="inlineStr">
        <is>
          <t>108 High Street, Redcar, Cleveland, TS10 3DL</t>
        </is>
      </c>
      <c r="C83" s="11" t="inlineStr">
        <is>
          <t>£25000-£50000</t>
        </is>
      </c>
      <c r="D83" s="13" t="n">
        <v>25000</v>
      </c>
      <c r="E83" s="11" t="n"/>
      <c r="F83" s="11" t="n"/>
      <c r="G83" s="13" t="n"/>
      <c r="H83" s="13">
        <f>IFERROR(IF(G83&lt;&gt;"",G83,D83)*1.2,"")</f>
        <v>30000.0</v>
      </c>
      <c r="I83" s="14">
        <f>IFERROR((G83-D83)/D83,"")</f>
        <v/>
      </c>
      <c r="J83" s="13" t="n">
        <v>50000</v>
      </c>
      <c r="K83" s="14">
        <f>IFERROR(J83/G83,"")</f>
        <v/>
      </c>
      <c r="L83" s="11" t="inlineStr">
        <is>
          <t>£82000</t>
        </is>
      </c>
      <c r="M83" s="11" t="inlineStr">
        <is>
          <t>Outside region</t>
        </is>
      </c>
      <c r="N83" s="11" t="inlineStr">
        <is>
          <t>Not in October catalogue</t>
        </is>
      </c>
      <c r="O83" s="11" t="inlineStr">
        <is>
          <t>postcode not in catalogue</t>
        </is>
      </c>
    </row>
    <row r="84">
      <c r="A84" s="11" t="inlineStr">
        <is>
          <t>169</t>
        </is>
      </c>
      <c r="B84" s="12" t="inlineStr">
        <is>
          <t>4 Highfield Road, Newbold, Derbyshire, S41 7EY</t>
        </is>
      </c>
      <c r="C84" s="11" t="inlineStr">
        <is>
          <t>£25000+</t>
        </is>
      </c>
      <c r="D84" s="13" t="n">
        <v>25000</v>
      </c>
      <c r="E84" s="11" t="n"/>
      <c r="F84" s="11" t="n"/>
      <c r="G84" s="13" t="n"/>
      <c r="H84" s="13">
        <f>IFERROR(IF(G84&lt;&gt;"",G84,D84)*1.2,"")</f>
        <v>30000.0</v>
      </c>
      <c r="I84" s="14">
        <f>IFERROR((G84-D84)/D84,"")</f>
        <v/>
      </c>
      <c r="J84" s="13" t="n">
        <v>25000</v>
      </c>
      <c r="K84" s="14">
        <f>IFERROR(J84/G84,"")</f>
        <v/>
      </c>
      <c r="L84" s="11" t="inlineStr">
        <is>
          <t>£310000</t>
        </is>
      </c>
      <c r="M84" s="11" t="inlineStr">
        <is>
          <t>Serco region - VERIFY</t>
        </is>
      </c>
      <c r="N84" s="11" t="inlineStr">
        <is>
          <t>Not in October catalogue</t>
        </is>
      </c>
      <c r="O84" s="11" t="inlineStr">
        <is>
          <t>postcode not in catalogue</t>
        </is>
      </c>
    </row>
    <row r="85">
      <c r="A85" s="11" t="inlineStr">
        <is>
          <t>113</t>
        </is>
      </c>
      <c r="B85" s="12" t="inlineStr">
        <is>
          <t>Flat 110, 2 Moorfields, Liverpool, Merseyside, L2 2BS</t>
        </is>
      </c>
      <c r="C85" s="11" t="inlineStr">
        <is>
          <t>£20000-£40000</t>
        </is>
      </c>
      <c r="D85" s="13" t="n">
        <v>20000</v>
      </c>
      <c r="E85" s="11" t="n"/>
      <c r="F85" s="11" t="n"/>
      <c r="G85" s="13" t="n"/>
      <c r="H85" s="13">
        <f>IFERROR(IF(G85&lt;&gt;"",G85,D85)*1.2,"")</f>
        <v>24000.0</v>
      </c>
      <c r="I85" s="14">
        <f>IFERROR((G85-D85)/D85,"")</f>
        <v/>
      </c>
      <c r="J85" s="13" t="n">
        <v>40000</v>
      </c>
      <c r="K85" s="14">
        <f>IFERROR(J85/G85,"")</f>
        <v/>
      </c>
      <c r="L85" s="11" t="inlineStr">
        <is>
          <t>£90000</t>
        </is>
      </c>
      <c r="M85" s="11" t="inlineStr">
        <is>
          <t>CLOSED + NW paused</t>
        </is>
      </c>
      <c r="N85" s="11" t="inlineStr">
        <is>
          <t>Not in October catalogue</t>
        </is>
      </c>
      <c r="O85" s="11" t="inlineStr">
        <is>
          <t>different unit at this postcode - our unit not offered</t>
        </is>
      </c>
    </row>
    <row r="86">
      <c r="A86" s="11" t="inlineStr">
        <is>
          <t>114</t>
        </is>
      </c>
      <c r="B86" s="12" t="inlineStr">
        <is>
          <t>Residential Flat, 9A Battle Hill, Hexham, Northumberland, NE46 1BA</t>
        </is>
      </c>
      <c r="C86" s="11" t="inlineStr">
        <is>
          <t>£20000-£40000</t>
        </is>
      </c>
      <c r="D86" s="13" t="n">
        <v>20000</v>
      </c>
      <c r="E86" s="11" t="n"/>
      <c r="F86" s="11" t="n"/>
      <c r="G86" s="13" t="n"/>
      <c r="H86" s="13">
        <f>IFERROR(IF(G86&lt;&gt;"",G86,D86)*1.2,"")</f>
        <v>24000.0</v>
      </c>
      <c r="I86" s="14">
        <f>IFERROR((G86-D86)/D86,"")</f>
        <v/>
      </c>
      <c r="J86" s="13" t="n"/>
      <c r="K86" s="14">
        <f>IFERROR(J86/G86,"")</f>
        <v/>
      </c>
      <c r="L86" s="11" t="inlineStr">
        <is>
          <t>£64500</t>
        </is>
      </c>
      <c r="M86" s="11" t="inlineStr">
        <is>
          <t>Outside region</t>
        </is>
      </c>
      <c r="N86" s="11" t="inlineStr">
        <is>
          <t>Not in October catalogue</t>
        </is>
      </c>
      <c r="O86" s="11" t="inlineStr">
        <is>
          <t>postcode not in catalogue</t>
        </is>
      </c>
    </row>
    <row r="87">
      <c r="A87" s="11" t="inlineStr">
        <is>
          <t>119</t>
        </is>
      </c>
      <c r="B87" s="12" t="inlineStr">
        <is>
          <t>Flat 29 The Old School Rooms, Great Moor Street, Bolton, Lancashire, BL1 1NR</t>
        </is>
      </c>
      <c r="C87" s="11" t="inlineStr">
        <is>
          <t>£20000-£30000</t>
        </is>
      </c>
      <c r="D87" s="13" t="n">
        <v>20000</v>
      </c>
      <c r="E87" s="11" t="n"/>
      <c r="F87" s="11" t="n"/>
      <c r="G87" s="13" t="n"/>
      <c r="H87" s="13">
        <f>IFERROR(IF(G87&lt;&gt;"",G87,D87)*1.2,"")</f>
        <v>24000.0</v>
      </c>
      <c r="I87" s="14">
        <f>IFERROR((G87-D87)/D87,"")</f>
        <v/>
      </c>
      <c r="J87" s="13" t="n">
        <v>30000</v>
      </c>
      <c r="K87" s="14">
        <f>IFERROR(J87/G87,"")</f>
        <v/>
      </c>
      <c r="L87" s="11" t="inlineStr">
        <is>
          <t>£112000</t>
        </is>
      </c>
      <c r="M87" s="11" t="inlineStr">
        <is>
          <t>CLOSED + NW paused</t>
        </is>
      </c>
      <c r="N87" s="11" t="inlineStr">
        <is>
          <t>Not in October catalogue</t>
        </is>
      </c>
      <c r="O87" s="11" t="inlineStr">
        <is>
          <t>postcode not in catalogue</t>
        </is>
      </c>
    </row>
    <row r="88">
      <c r="A88" s="11" t="inlineStr">
        <is>
          <t>122A</t>
        </is>
      </c>
      <c r="B88" s="12" t="inlineStr">
        <is>
          <t>First &amp; Second Floor, 5 Cornmarket, Penrith, Cumbria, CA11 7DA</t>
        </is>
      </c>
      <c r="C88" s="11" t="inlineStr">
        <is>
          <t>£20000-£45000</t>
        </is>
      </c>
      <c r="D88" s="13" t="n">
        <v>20000</v>
      </c>
      <c r="E88" s="11" t="n"/>
      <c r="F88" s="11" t="n"/>
      <c r="G88" s="13" t="n"/>
      <c r="H88" s="13">
        <f>IFERROR(IF(G88&lt;&gt;"",G88,D88)*1.2,"")</f>
        <v>24000.0</v>
      </c>
      <c r="I88" s="14">
        <f>IFERROR((G88-D88)/D88,"")</f>
        <v/>
      </c>
      <c r="J88" s="13" t="n">
        <v>45000</v>
      </c>
      <c r="K88" s="14">
        <f>IFERROR(J88/G88,"")</f>
        <v/>
      </c>
      <c r="L88" s="11" t="inlineStr">
        <is>
          <t>£136000</t>
        </is>
      </c>
      <c r="M88" s="11" t="inlineStr">
        <is>
          <t>CLOSED + NW paused</t>
        </is>
      </c>
      <c r="N88" s="11" t="inlineStr">
        <is>
          <t>Not in October catalogue</t>
        </is>
      </c>
      <c r="O88" s="11" t="inlineStr">
        <is>
          <t>postcode not in catalogue</t>
        </is>
      </c>
    </row>
    <row r="89">
      <c r="A89" s="11" t="inlineStr">
        <is>
          <t>164</t>
        </is>
      </c>
      <c r="B89" s="12" t="inlineStr">
        <is>
          <t>2 Broad Street, St. Columb, Cornwall, TR9 6AS</t>
        </is>
      </c>
      <c r="C89" s="11" t="inlineStr">
        <is>
          <t>£15000+</t>
        </is>
      </c>
      <c r="D89" s="13" t="n">
        <v>15000</v>
      </c>
      <c r="E89" s="11" t="n"/>
      <c r="F89" s="11" t="n"/>
      <c r="G89" s="13" t="n"/>
      <c r="H89" s="13">
        <f>IFERROR(IF(G89&lt;&gt;"",G89,D89)*1.2,"")</f>
        <v>18000.0</v>
      </c>
      <c r="I89" s="14">
        <f>IFERROR((G89-D89)/D89,"")</f>
        <v/>
      </c>
      <c r="J89" s="13" t="n"/>
      <c r="K89" s="14">
        <f>IFERROR(J89/G89,"")</f>
        <v/>
      </c>
      <c r="L89" s="11" t="inlineStr">
        <is>
          <t>£20500</t>
        </is>
      </c>
      <c r="M89" s="11" t="inlineStr">
        <is>
          <t>Outside region</t>
        </is>
      </c>
      <c r="N89" s="11" t="inlineStr">
        <is>
          <t>Not in October catalogue</t>
        </is>
      </c>
      <c r="O89" s="11" t="inlineStr">
        <is>
          <t>postcode not in catalogue</t>
        </is>
      </c>
    </row>
    <row r="90">
      <c r="A90" s="11" t="inlineStr">
        <is>
          <t>179</t>
        </is>
      </c>
      <c r="B90" s="12" t="inlineStr">
        <is>
          <t>Land at Green Lane, Warlingham, Surrey, CR6 9EE</t>
        </is>
      </c>
      <c r="C90" s="11" t="inlineStr">
        <is>
          <t>£15000-£30000</t>
        </is>
      </c>
      <c r="D90" s="13" t="n">
        <v>15000</v>
      </c>
      <c r="E90" s="11" t="n"/>
      <c r="F90" s="11" t="n"/>
      <c r="G90" s="13" t="n"/>
      <c r="H90" s="13">
        <f>IFERROR(IF(G90&lt;&gt;"",G90,D90)*1.2,"")</f>
        <v>18000.0</v>
      </c>
      <c r="I90" s="14">
        <f>IFERROR((G90-D90)/D90,"")</f>
        <v/>
      </c>
      <c r="J90" s="13" t="n"/>
      <c r="K90" s="14">
        <f>IFERROR(J90/G90,"")</f>
        <v/>
      </c>
      <c r="L90" s="11" t="inlineStr">
        <is>
          <t>N/A - land</t>
        </is>
      </c>
      <c r="M90" s="11" t="inlineStr">
        <is>
          <t>Outside region</t>
        </is>
      </c>
      <c r="N90" s="11" t="inlineStr">
        <is>
          <t>Not in October catalogue</t>
        </is>
      </c>
      <c r="O90" s="11" t="inlineStr">
        <is>
          <t>postcode not in catalogue</t>
        </is>
      </c>
    </row>
    <row r="91">
      <c r="A91" s="11" t="inlineStr">
        <is>
          <t>75A</t>
        </is>
      </c>
      <c r="B91" s="12" t="inlineStr">
        <is>
          <t>Unit 1 Masonic Hall, 64 Briggate, Brighouse, Calderdale, HD6 1EF</t>
        </is>
      </c>
      <c r="C91" s="11" t="inlineStr">
        <is>
          <t>£9000+</t>
        </is>
      </c>
      <c r="D91" s="13" t="n">
        <v>9000</v>
      </c>
      <c r="E91" s="11" t="n"/>
      <c r="F91" s="11" t="n"/>
      <c r="G91" s="13" t="n"/>
      <c r="H91" s="13">
        <f>IFERROR(IF(G91&lt;&gt;"",G91,D91)*1.2,"")</f>
        <v>10800.0</v>
      </c>
      <c r="I91" s="14">
        <f>IFERROR((G91-D91)/D91,"")</f>
        <v/>
      </c>
      <c r="J91" s="13" t="n"/>
      <c r="K91" s="14">
        <f>IFERROR(J91/G91,"")</f>
        <v/>
      </c>
      <c r="L91" s="11" t="inlineStr">
        <is>
          <t>N/A - commercial</t>
        </is>
      </c>
      <c r="M91" s="11" t="inlineStr">
        <is>
          <t>Outside region</t>
        </is>
      </c>
      <c r="N91" s="11" t="inlineStr">
        <is>
          <t>Not in October catalogue</t>
        </is>
      </c>
      <c r="O91" s="11" t="inlineStr">
        <is>
          <t>postcode not in catalogue</t>
        </is>
      </c>
    </row>
    <row r="92">
      <c r="A92" s="11" t="inlineStr">
        <is>
          <t>80</t>
        </is>
      </c>
      <c r="B92" s="12" t="inlineStr">
        <is>
          <t>Unit 3, 6A Alma Street, Taunton, Somerset, TA1 3AH</t>
        </is>
      </c>
      <c r="C92" s="11" t="inlineStr">
        <is>
          <t>£5000+</t>
        </is>
      </c>
      <c r="D92" s="13" t="n">
        <v>5000</v>
      </c>
      <c r="E92" s="11" t="n"/>
      <c r="F92" s="11" t="n"/>
      <c r="G92" s="13" t="n"/>
      <c r="H92" s="13">
        <f>IFERROR(IF(G92&lt;&gt;"",G92,D92)*1.2,"")</f>
        <v>6000.0</v>
      </c>
      <c r="I92" s="14">
        <f>IFERROR((G92-D92)/D92,"")</f>
        <v/>
      </c>
      <c r="J92" s="13" t="n"/>
      <c r="K92" s="14">
        <f>IFERROR(J92/G92,"")</f>
        <v/>
      </c>
      <c r="L92" s="11" t="inlineStr">
        <is>
          <t>N/A - commercial</t>
        </is>
      </c>
      <c r="M92" s="11" t="inlineStr">
        <is>
          <t>Outside region</t>
        </is>
      </c>
      <c r="N92" s="11" t="inlineStr">
        <is>
          <t>Not in October catalogue</t>
        </is>
      </c>
      <c r="O92" s="11" t="inlineStr">
        <is>
          <t>postcode not in catalogue</t>
        </is>
      </c>
    </row>
    <row r="93">
      <c r="A93" s="11" t="inlineStr">
        <is>
          <t>160A</t>
        </is>
      </c>
      <c r="B93" s="12" t="inlineStr">
        <is>
          <t>18 Farringford Court, 1 Avenue Road, Lymington, Hampshire, SO41 9PA</t>
        </is>
      </c>
      <c r="C93" s="11" t="inlineStr">
        <is>
          <t>£5000-£10000</t>
        </is>
      </c>
      <c r="D93" s="13" t="n">
        <v>5000</v>
      </c>
      <c r="E93" s="11" t="n"/>
      <c r="F93" s="11" t="n"/>
      <c r="G93" s="13" t="n"/>
      <c r="H93" s="13">
        <f>IFERROR(IF(G93&lt;&gt;"",G93,D93)*1.2,"")</f>
        <v>6000.0</v>
      </c>
      <c r="I93" s="14">
        <f>IFERROR((G93-D93)/D93,"")</f>
        <v/>
      </c>
      <c r="J93" s="13" t="n">
        <v>5000</v>
      </c>
      <c r="K93" s="14">
        <f>IFERROR(J93/G93,"")</f>
        <v/>
      </c>
      <c r="L93" s="11" t="inlineStr">
        <is>
          <t>£150000</t>
        </is>
      </c>
      <c r="M93" s="11" t="inlineStr">
        <is>
          <t>Outside region</t>
        </is>
      </c>
      <c r="N93" s="11" t="inlineStr">
        <is>
          <t>Not in October catalogue</t>
        </is>
      </c>
      <c r="O93" s="11" t="inlineStr">
        <is>
          <t>postcode not in catalogue</t>
        </is>
      </c>
    </row>
    <row r="94">
      <c r="A94" s="11" t="inlineStr">
        <is>
          <t>168</t>
        </is>
      </c>
      <c r="B94" s="12" t="inlineStr">
        <is>
          <t>Flat A9-D Leighton Street, Leighton Street, Preston, Lancashire, PR1 8RH</t>
        </is>
      </c>
      <c r="C94" s="11" t="inlineStr">
        <is>
          <t>£5000-£10000</t>
        </is>
      </c>
      <c r="D94" s="13" t="n">
        <v>5000</v>
      </c>
      <c r="E94" s="11" t="n"/>
      <c r="F94" s="11" t="n"/>
      <c r="G94" s="13" t="n"/>
      <c r="H94" s="13">
        <f>IFERROR(IF(G94&lt;&gt;"",G94,D94)*1.2,"")</f>
        <v>6000.0</v>
      </c>
      <c r="I94" s="14">
        <f>IFERROR((G94-D94)/D94,"")</f>
        <v/>
      </c>
      <c r="J94" s="13" t="n"/>
      <c r="K94" s="14">
        <f>IFERROR(J94/G94,"")</f>
        <v/>
      </c>
      <c r="L94" s="11" t="inlineStr">
        <is>
          <t>N/A</t>
        </is>
      </c>
      <c r="M94" s="11" t="inlineStr">
        <is>
          <t>CLOSED + NW paused</t>
        </is>
      </c>
      <c r="N94" s="11" t="inlineStr">
        <is>
          <t>Not in October catalogue</t>
        </is>
      </c>
      <c r="O94" s="11" t="inlineStr">
        <is>
          <t>postcode not in catalogue</t>
        </is>
      </c>
    </row>
    <row r="95">
      <c r="A95" s="11" t="inlineStr">
        <is>
          <t>171</t>
        </is>
      </c>
      <c r="B95" s="12" t="inlineStr">
        <is>
          <t>Plot 8 Boreham Place, New England, Halstead, Essex, CO9 4BD</t>
        </is>
      </c>
      <c r="C95" s="11" t="inlineStr">
        <is>
          <t>£5000+</t>
        </is>
      </c>
      <c r="D95" s="13" t="n">
        <v>5000</v>
      </c>
      <c r="E95" s="11" t="n"/>
      <c r="F95" s="11" t="n"/>
      <c r="G95" s="13" t="n"/>
      <c r="H95" s="13">
        <f>IFERROR(IF(G95&lt;&gt;"",G95,D95)*1.2,"")</f>
        <v>6000.0</v>
      </c>
      <c r="I95" s="14">
        <f>IFERROR((G95-D95)/D95,"")</f>
        <v/>
      </c>
      <c r="J95" s="13" t="n"/>
      <c r="K95" s="14">
        <f>IFERROR(J95/G95,"")</f>
        <v/>
      </c>
      <c r="L95" s="11" t="inlineStr">
        <is>
          <t>N/A - plot</t>
        </is>
      </c>
      <c r="M95" s="11" t="inlineStr">
        <is>
          <t>Serco region - VERIFY</t>
        </is>
      </c>
      <c r="N95" s="11" t="inlineStr">
        <is>
          <t>Not in October catalogue</t>
        </is>
      </c>
      <c r="O95" s="11" t="inlineStr">
        <is>
          <t>postcode not in catalogue</t>
        </is>
      </c>
    </row>
    <row r="96">
      <c r="A96" s="11" t="inlineStr">
        <is>
          <t>172</t>
        </is>
      </c>
      <c r="B96" s="12" t="inlineStr">
        <is>
          <t>Plot 4 Station Road, Shirehampton, Bristol, Avon, BS11 9XA</t>
        </is>
      </c>
      <c r="C96" s="11" t="inlineStr">
        <is>
          <t>£5000+</t>
        </is>
      </c>
      <c r="D96" s="13" t="n">
        <v>5000</v>
      </c>
      <c r="E96" s="11" t="n"/>
      <c r="F96" s="11" t="n"/>
      <c r="G96" s="13" t="n"/>
      <c r="H96" s="13">
        <f>IFERROR(IF(G96&lt;&gt;"",G96,D96)*1.2,"")</f>
        <v>6000.0</v>
      </c>
      <c r="I96" s="14">
        <f>IFERROR((G96-D96)/D96,"")</f>
        <v/>
      </c>
      <c r="J96" s="13" t="n"/>
      <c r="K96" s="14">
        <f>IFERROR(J96/G96,"")</f>
        <v/>
      </c>
      <c r="L96" s="11" t="inlineStr">
        <is>
          <t>N/A - plot</t>
        </is>
      </c>
      <c r="M96" s="11" t="inlineStr">
        <is>
          <t>Outside region</t>
        </is>
      </c>
      <c r="N96" s="11" t="inlineStr">
        <is>
          <t>Not in October catalogue</t>
        </is>
      </c>
      <c r="O96" s="11" t="inlineStr">
        <is>
          <t>postcode not in catalogue</t>
        </is>
      </c>
    </row>
    <row r="97">
      <c r="A97" s="11" t="inlineStr">
        <is>
          <t>174</t>
        </is>
      </c>
      <c r="B97" s="12" t="inlineStr">
        <is>
          <t>Garage and Land to the Rear of 16 Stanley Park Drive, Wembley, Middlesex, HA0 1SG</t>
        </is>
      </c>
      <c r="C97" s="11" t="inlineStr">
        <is>
          <t>£5000+</t>
        </is>
      </c>
      <c r="D97" s="13" t="n">
        <v>5000</v>
      </c>
      <c r="E97" s="11" t="n"/>
      <c r="F97" s="11" t="n"/>
      <c r="G97" s="13" t="n"/>
      <c r="H97" s="13">
        <f>IFERROR(IF(G97&lt;&gt;"",G97,D97)*1.2,"")</f>
        <v>6000.0</v>
      </c>
      <c r="I97" s="14">
        <f>IFERROR((G97-D97)/D97,"")</f>
        <v/>
      </c>
      <c r="J97" s="13" t="n"/>
      <c r="K97" s="14">
        <f>IFERROR(J97/G97,"")</f>
        <v/>
      </c>
      <c r="L97" s="11" t="inlineStr">
        <is>
          <t>N/A - garage</t>
        </is>
      </c>
      <c r="M97" s="11" t="inlineStr">
        <is>
          <t>Outside region</t>
        </is>
      </c>
      <c r="N97" s="11" t="inlineStr">
        <is>
          <t>Not in October catalogue</t>
        </is>
      </c>
      <c r="O97" s="11" t="inlineStr">
        <is>
          <t>postcode not in catalogue</t>
        </is>
      </c>
    </row>
    <row r="98">
      <c r="A98" s="11" t="inlineStr">
        <is>
          <t>178</t>
        </is>
      </c>
      <c r="B98" s="12" t="inlineStr">
        <is>
          <t>Garage at Seddon Court, Hepplewhite Close, Crawley, West Sussex, RH11 9LF</t>
        </is>
      </c>
      <c r="C98" s="11" t="inlineStr">
        <is>
          <t>£5000-£10000</t>
        </is>
      </c>
      <c r="D98" s="13" t="n">
        <v>5000</v>
      </c>
      <c r="E98" s="11" t="n"/>
      <c r="F98" s="11" t="n"/>
      <c r="G98" s="13" t="n"/>
      <c r="H98" s="13">
        <f>IFERROR(IF(G98&lt;&gt;"",G98,D98)*1.2,"")</f>
        <v>6000.0</v>
      </c>
      <c r="I98" s="14">
        <f>IFERROR((G98-D98)/D98,"")</f>
        <v/>
      </c>
      <c r="J98" s="13" t="n"/>
      <c r="K98" s="14">
        <f>IFERROR(J98/G98,"")</f>
        <v/>
      </c>
      <c r="L98" s="11" t="inlineStr">
        <is>
          <t>N/A - garage</t>
        </is>
      </c>
      <c r="M98" s="11" t="inlineStr">
        <is>
          <t>Outside region</t>
        </is>
      </c>
      <c r="N98" s="11" t="inlineStr">
        <is>
          <t>Not in October catalogue</t>
        </is>
      </c>
      <c r="O98" s="11" t="inlineStr">
        <is>
          <t>postcode not in catalogue</t>
        </is>
      </c>
    </row>
    <row r="99">
      <c r="A99" s="11" t="inlineStr">
        <is>
          <t>170</t>
        </is>
      </c>
      <c r="B99" s="12" t="inlineStr">
        <is>
          <t>Plot 2 Abbey Street, Ickleton, Saffron Walden, Essex, CB10 1SS</t>
        </is>
      </c>
      <c r="C99" s="11" t="inlineStr">
        <is>
          <t>£3000+</t>
        </is>
      </c>
      <c r="D99" s="13" t="n">
        <v>3000</v>
      </c>
      <c r="E99" s="11" t="n"/>
      <c r="F99" s="11" t="n"/>
      <c r="G99" s="13" t="n"/>
      <c r="H99" s="13">
        <f>IFERROR(IF(G99&lt;&gt;"",G99,D99)*1.2,"")</f>
        <v>3600.0</v>
      </c>
      <c r="I99" s="14">
        <f>IFERROR((G99-D99)/D99,"")</f>
        <v/>
      </c>
      <c r="J99" s="13" t="n"/>
      <c r="K99" s="14">
        <f>IFERROR(J99/G99,"")</f>
        <v/>
      </c>
      <c r="L99" s="11" t="inlineStr">
        <is>
          <t>N/A - plot</t>
        </is>
      </c>
      <c r="M99" s="11" t="inlineStr">
        <is>
          <t>Serco region - VERIFY</t>
        </is>
      </c>
      <c r="N99" s="11" t="inlineStr">
        <is>
          <t>Not in October catalogue</t>
        </is>
      </c>
      <c r="O99" s="11" t="inlineStr">
        <is>
          <t>postcode not in catalogue</t>
        </is>
      </c>
    </row>
    <row r="100">
      <c r="A100" s="11" t="inlineStr">
        <is>
          <t>173</t>
        </is>
      </c>
      <c r="B100" s="12" t="inlineStr">
        <is>
          <t>Compound 1, Par Moor Road, Par, Cornwall, PL24 2SQ</t>
        </is>
      </c>
      <c r="C100" s="11" t="inlineStr">
        <is>
          <t>£3000+</t>
        </is>
      </c>
      <c r="D100" s="13" t="n">
        <v>3000</v>
      </c>
      <c r="E100" s="11" t="n"/>
      <c r="F100" s="11" t="n"/>
      <c r="G100" s="13" t="n"/>
      <c r="H100" s="13">
        <f>IFERROR(IF(G100&lt;&gt;"",G100,D100)*1.2,"")</f>
        <v>3600.0</v>
      </c>
      <c r="I100" s="14">
        <f>IFERROR((G100-D100)/D100,"")</f>
        <v/>
      </c>
      <c r="J100" s="13" t="n"/>
      <c r="K100" s="14">
        <f>IFERROR(J100/G100,"")</f>
        <v/>
      </c>
      <c r="L100" s="11" t="inlineStr">
        <is>
          <t>N/A - compound</t>
        </is>
      </c>
      <c r="M100" s="11" t="inlineStr">
        <is>
          <t>Outside region</t>
        </is>
      </c>
      <c r="N100" s="11" t="inlineStr">
        <is>
          <t>Not in October catalogue</t>
        </is>
      </c>
      <c r="O100" s="11" t="inlineStr">
        <is>
          <t>postcode not in catalogue</t>
        </is>
      </c>
    </row>
    <row r="101">
      <c r="A101" s="11" t="inlineStr">
        <is>
          <t>152A</t>
        </is>
      </c>
      <c r="B101" s="12" t="inlineStr">
        <is>
          <t>Flat 201 Lemare Lodge, Fair Acres, Bromley, Kent, BR2 9BS</t>
        </is>
      </c>
      <c r="C101" s="11" t="inlineStr">
        <is>
          <t>UNKNOWN</t>
        </is>
      </c>
      <c r="D101" s="13" t="n"/>
      <c r="E101" s="11" t="n"/>
      <c r="F101" s="11" t="n"/>
      <c r="G101" s="13" t="n"/>
      <c r="H101" s="13">
        <f>IFERROR(IF(G101&lt;&gt;"",G101,D101)*1.2,"")</f>
        <v/>
      </c>
      <c r="I101" s="14">
        <f>IFERROR((G101-D101)/D101,"")</f>
        <v/>
      </c>
      <c r="J101" s="13" t="n"/>
      <c r="K101" s="14">
        <f>IFERROR(J101/G101,"")</f>
        <v/>
      </c>
      <c r="L101" s="11" t="inlineStr">
        <is>
          <t>£226000</t>
        </is>
      </c>
      <c r="M101" s="11" t="inlineStr">
        <is>
          <t>Outside region</t>
        </is>
      </c>
      <c r="N101" s="11" t="inlineStr">
        <is>
          <t>Not in October catalogue</t>
        </is>
      </c>
      <c r="O101" s="11" t="inlineStr">
        <is>
          <t>postcode not in catalogue</t>
        </is>
      </c>
    </row>
  </sheetData>
  <autoFilter ref="A1:O1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63"/>
  <sheetViews>
    <sheetView workbookViewId="0">
      <selection activeCell="A1" sqref="A1"/>
    </sheetView>
  </sheetViews>
  <sheetFormatPr baseColWidth="8" defaultRowHeight="15"/>
  <cols>
    <col width="118" customWidth="1" min="1" max="1"/>
  </cols>
  <sheetData>
    <row r="1">
      <c r="A1" s="15" t="inlineStr">
        <is>
          <t>Checked list - Auction House London</t>
        </is>
      </c>
    </row>
    <row r="2">
      <c r="A2" s="16" t="inlineStr"/>
    </row>
    <row r="3">
      <c r="A3" s="15" t="inlineStr">
        <is>
          <t>What this is</t>
        </is>
      </c>
    </row>
    <row r="4">
      <c r="A4" s="16" t="inlineStr">
        <is>
          <t>The 100 lots tracked in 'October auction.xlsx' (Dropbox: /Clients/Vance/110 portfolio/),</t>
        </is>
      </c>
    </row>
    <row r="5">
      <c r="A5" s="16" t="inlineStr">
        <is>
          <t>checked against the Auction House London catalogue for 7-8 October 2026 (93 lots).</t>
        </is>
      </c>
    </row>
    <row r="6">
      <c r="A6" s="16" t="inlineStr"/>
    </row>
    <row r="7">
      <c r="A7" s="16" t="inlineStr">
        <is>
          <t>Result: 11 lots re-entered and live, 2 already sold prior, 87 not in the October catalogue.</t>
        </is>
      </c>
    </row>
    <row r="8">
      <c r="A8" s="16" t="inlineStr"/>
    </row>
    <row r="9">
      <c r="A9" s="15" t="inlineStr">
        <is>
          <t>Guide +20% column</t>
        </is>
      </c>
    </row>
    <row r="10">
      <c r="A10" s="16" t="inlineStr">
        <is>
          <t>Computed as the CURRENT guide x 1.2: the October guide where the lot was re-entered, and</t>
        </is>
      </c>
    </row>
    <row r="11">
      <c r="A11" s="16" t="inlineStr">
        <is>
          <t>the September guide for the 87 lots that were not. So for the 13 matched lots it reflects</t>
        </is>
      </c>
    </row>
    <row r="12">
      <c r="A12" s="16" t="inlineStr">
        <is>
          <t>today's asking price; for the rest it reflects the last guide we hold, which is now two</t>
        </is>
      </c>
    </row>
    <row r="13">
      <c r="A13" s="16" t="inlineStr">
        <is>
          <t>weeks stale. Column E ('Oct lot') shows at a glance which basis applies - populated means</t>
        </is>
      </c>
    </row>
    <row r="14">
      <c r="A14" s="16" t="inlineStr">
        <is>
          <t>October, blank means September.</t>
        </is>
      </c>
    </row>
    <row r="15">
      <c r="A15" s="16" t="inlineStr">
        <is>
          <t>Where a guide is quoted as a range (e.g. £20,000-£40,000) the LOW end is used, matching the</t>
        </is>
      </c>
    </row>
    <row r="16">
      <c r="A16" s="16" t="inlineStr">
        <is>
          <t>convention in the rest of this sheet.</t>
        </is>
      </c>
    </row>
    <row r="17">
      <c r="A17" s="16" t="inlineStr">
        <is>
          <t>Blank for lots with no numeric guide at all: land, garages, and 'sold prior' entries quoted</t>
        </is>
      </c>
    </row>
    <row r="18">
      <c r="A18" s="16" t="inlineStr">
        <is>
          <t>at an undisclosed amount.</t>
        </is>
      </c>
    </row>
    <row r="19">
      <c r="A19" s="16" t="inlineStr"/>
    </row>
    <row r="20">
      <c r="A20" s="15" t="inlineStr">
        <is>
          <t>Source of the tracked list</t>
        </is>
      </c>
    </row>
    <row r="21">
      <c r="A21" s="16" t="inlineStr">
        <is>
          <t>The spreadsheet is titled 'October auction' but its lots are the 2nd-3rd SEPTEMBER 2026 sale.</t>
        </is>
      </c>
    </row>
    <row r="22">
      <c r="A22" s="16" t="inlineStr">
        <is>
          <t>Confirmed against two published lot records (lot 99, 23 Selkirk Road; lot 101, 49 Exmouth Road),</t>
        </is>
      </c>
    </row>
    <row r="23">
      <c r="A23" s="16" t="inlineStr">
        <is>
          <t>both dated 02/09/2026. The spreadsheet's own source note flagged this as unresolved.</t>
        </is>
      </c>
    </row>
    <row r="24">
      <c r="A24" s="16" t="inlineStr"/>
    </row>
    <row r="25">
      <c r="A25" s="15" t="inlineStr">
        <is>
          <t>Source of the October catalogue</t>
        </is>
      </c>
    </row>
    <row r="26">
      <c r="A26" s="16" t="inlineStr">
        <is>
          <t>auctionhouselondon.co.uk/current-auction, captured 15 September 2026. The site could not be</t>
        </is>
      </c>
    </row>
    <row r="27">
      <c r="A27" s="16" t="inlineStr">
        <is>
          <t>fetched directly - this environment's egress policy blocks the domain - so the page was</t>
        </is>
      </c>
    </row>
    <row r="28">
      <c r="A28" s="16" t="inlineStr">
        <is>
          <t>supplied by the user. The catalogue was still open for entries on that date, so it will have</t>
        </is>
      </c>
    </row>
    <row r="29">
      <c r="A29" s="16" t="inlineStr">
        <is>
          <t>grown before 7 October. Re-run nearer the date.</t>
        </is>
      </c>
    </row>
    <row r="30">
      <c r="A30" s="16" t="inlineStr"/>
    </row>
    <row r="31">
      <c r="A31" s="15" t="inlineStr">
        <is>
          <t>How lots were matched</t>
        </is>
      </c>
    </row>
    <row r="32">
      <c r="A32" s="16" t="inlineStr">
        <is>
          <t>On postcode, then on flat/house number. Lot numbers and property names differ between the two</t>
        </is>
      </c>
    </row>
    <row r="33">
      <c r="A33" s="16" t="inlineStr">
        <is>
          <t>sales - September lot 39 'Holmshill House' is the site's lot 40 'Holmshill Farm' - so neither</t>
        </is>
      </c>
    </row>
    <row r="34">
      <c r="A34" s="16" t="inlineStr">
        <is>
          <t>is a safe key. Every match was then re-checked by full address text; the three matches that</t>
        </is>
      </c>
    </row>
    <row r="35">
      <c r="A35" s="16" t="inlineStr">
        <is>
          <t>had no unit number to confirm against (127, 175, 182) scored 1.000 similarity and are marked</t>
        </is>
      </c>
    </row>
    <row r="36">
      <c r="A36" s="16" t="inlineStr">
        <is>
          <t>'address exact match (verified)'. A similarity sweep across the 87 unmatched lots found no</t>
        </is>
      </c>
    </row>
    <row r="37">
      <c r="A37" s="16" t="inlineStr">
        <is>
          <t>missed matches.</t>
        </is>
      </c>
    </row>
    <row r="38">
      <c r="A38" s="16" t="inlineStr"/>
    </row>
    <row r="39">
      <c r="A39" s="15" t="inlineStr">
        <is>
          <t>Deliberate non-matches</t>
        </is>
      </c>
    </row>
    <row r="40">
      <c r="A40" s="16" t="inlineStr">
        <is>
          <t>Lot 113, Flat 110, 2 Moorfields - only Flat 105 is offered in October. Not a match.</t>
        </is>
      </c>
    </row>
    <row r="41">
      <c r="A41" s="16" t="inlineStr">
        <is>
          <t>Lot 120, Flat 23, 2 Manilla Street E14 8GB - the October lot is 1 Manilla Street E14 8JZ,</t>
        </is>
      </c>
    </row>
    <row r="42">
      <c r="A42" s="16" t="inlineStr">
        <is>
          <t>a different building. Not a match.</t>
        </is>
      </c>
    </row>
    <row r="43">
      <c r="A43" s="16" t="inlineStr"/>
    </row>
    <row r="44">
      <c r="A44" s="15" t="inlineStr">
        <is>
          <t>Addresses corrected against the site so matching would work</t>
        </is>
      </c>
    </row>
    <row r="45">
      <c r="A45" s="16" t="inlineStr">
        <is>
          <t>4 Narin Court, Tilbury -&gt; 4 Nairn Court.  3 Jane Court, St Albans -&gt; 3 Dane Court.</t>
        </is>
      </c>
    </row>
    <row r="46">
      <c r="A46" s="16" t="inlineStr">
        <is>
          <t>104 Graveney Road: postcode SW17 0DH -&gt; SW17 0EH.</t>
        </is>
      </c>
    </row>
    <row r="47">
      <c r="A47" s="16" t="inlineStr"/>
    </row>
    <row r="48">
      <c r="A48" s="15" t="inlineStr">
        <is>
          <t>Known limit</t>
        </is>
      </c>
    </row>
    <row r="49">
      <c r="A49" s="16" t="inlineStr">
        <is>
          <t>'Not in October catalogue' does not mean sold. Those 87 lots may have sold in September, been</t>
        </is>
      </c>
    </row>
    <row r="50">
      <c r="A50" s="16" t="inlineStr">
        <is>
          <t>withdrawn, or be unsold and still available. Distinguishing them needs the auction house's</t>
        </is>
      </c>
    </row>
    <row r="51">
      <c r="A51" s="16" t="inlineStr">
        <is>
          <t>'lots still available' page, which was not captured.</t>
        </is>
      </c>
    </row>
    <row r="52">
      <c r="A52" s="16" t="inlineStr"/>
    </row>
    <row r="53">
      <c r="A53" s="15" t="inlineStr">
        <is>
          <t>Other columns computed by formula</t>
        </is>
      </c>
    </row>
    <row r="54">
      <c r="A54" s="16" t="inlineStr">
        <is>
          <t>'Guide move' = (Oct guide low - Sep guide low) / Sep guide low.</t>
        </is>
      </c>
    </row>
    <row r="55">
      <c r="A55" s="16" t="inlineStr">
        <is>
          <t>'Offer vs Oct guide' = our accepted offer / Oct guide low.</t>
        </is>
      </c>
    </row>
    <row r="57">
      <c r="A57" s="23" t="inlineStr">
        <is>
          <t>Working list sheet</t>
        </is>
      </c>
    </row>
    <row r="58">
      <c r="A58" s="24" t="inlineStr">
        <is>
          <t>Address / guide price / Hometrack valuation / guide +20%, for all 100 lots.</t>
        </is>
      </c>
    </row>
    <row r="59">
      <c r="A59" s="24" t="inlineStr">
        <is>
          <t>'Guide price' is the CURRENT guide: the October guide where the lot was re-entered, the</t>
        </is>
      </c>
    </row>
    <row r="60">
      <c r="A60" s="24" t="inlineStr">
        <is>
          <t>September guide otherwise - the same basis as the +20% column. Range guides use the low end.</t>
        </is>
      </c>
    </row>
    <row r="61">
      <c r="A61" s="24" t="inlineStr">
        <is>
          <t>Row shading carries the status, since it is not a column here: green = in the October</t>
        </is>
      </c>
    </row>
    <row r="62">
      <c r="A62" s="24" t="inlineStr">
        <is>
          <t>catalogue, red = sold prior, unshaded = not in the October catalogue. The 'Checked list'</t>
        </is>
      </c>
    </row>
    <row r="63">
      <c r="A63" s="24" t="inlineStr">
        <is>
          <t>sheet has the full detail including October lot numbers and how each match was verified.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2026-09-15T23:37:54Z</dcterms:created>
  <dcterms:modified xsi:type="dcterms:W3CDTF">2026-09-15T23:39:17Z</dcterms:modified>
</cp:coreProperties>
</file>